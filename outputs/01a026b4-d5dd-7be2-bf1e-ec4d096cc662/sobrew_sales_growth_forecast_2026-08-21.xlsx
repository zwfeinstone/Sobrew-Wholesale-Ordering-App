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4664df5eb144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b8414c1b414a4b1f"/>
    <x:sheet xmlns:r="http://schemas.openxmlformats.org/officeDocument/2006/relationships" name="Historical Actuals" sheetId="2" r:id="Rda7373c2667d48bc"/>
    <x:sheet xmlns:r="http://schemas.openxmlformats.org/officeDocument/2006/relationships" name="Assumptions" sheetId="3" r:id="Rb534c1fa17254ecf"/>
    <x:sheet xmlns:r="http://schemas.openxmlformats.org/officeDocument/2006/relationships" name="Forecast Model" sheetId="4" r:id="Rbef6c29c140e4035"/>
    <x:sheet xmlns:r="http://schemas.openxmlformats.org/officeDocument/2006/relationships" name="Model Validation" sheetId="5" r:id="Rc018a45549c4405e"/>
    <x:sheet xmlns:r="http://schemas.openxmlformats.org/officeDocument/2006/relationships" name="Sources &amp; Checks" sheetId="6" r:id="R0cccfa948ecc4f0b"/>
  </x:sheets>
</x:workbook>
</file>

<file path=xl/comments1.xml><?xml version="1.0" encoding="utf-8"?>
<x:comments xmlns:x="http://schemas.openxmlformats.org/spreadsheetml/2006/main">
  <x:authors>
    <x:author>tc={880A651E-3258-7688-EFB6-EB85AD40464B}</x:author>
    <x:author>tc={3D3AB9F9-93B6-C21F-CCBB-C5257CF93119}</x:author>
    <x:author>tc={B0E8B3E6-9C86-5D48-8405-95EA01F00394}</x:author>
    <x:author>tc={FADE3E20-F3B0-8752-776D-D8041906F1F3}</x:author>
    <x:author>tc={1EE494E1-0676-8EDF-A8B4-1693ECD94B6D}</x:author>
    <x:author>tc={BE864A57-2BC1-32D8-0E18-24F88E3BE5E2}</x:author>
  </x:authors>
  <x:commentList>
    <x:comment ref="B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live Supabase shipped-order customer history as of 2026-08-21. August MTD active customers = 38; model uses 42 as a full-month estimate.</x:t>
        </x:r>
      </x:text>
    </x:comment>
    <x:comment ref="B6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live Supabase monthly logo retention. May-Jul 2026 observed: 84.0%, 71.4%, 77.8%.</x:t>
        </x:r>
      </x:text>
    </x:comment>
    <x:comment ref="B7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live Supabase first-order cohorts. New customers: May 13, Jun 9, Jul 9; pipeline as of 2026-08-21 includes 95 working, 132 follow-up, and 65 sample-requested leads.</x:t>
        </x:r>
      </x:text>
    </x:comment>
    <x:comment ref="B10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live Supabase shipped standard-order subtotals and counts. May-Jul AOV: $205.44, $214.90, $230.54.</x:t>
        </x:r>
      </x:text>
    </x:comment>
    <x:comment ref="B12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live Supabase recurring_orders as of 2026-08-21. 15 active schedules; annualized monthly run rate = 4x biweekly, 2x every 3 weeks, 9x every 4 weeks.</x:t>
        </x:r>
      </x:text>
    </x:comment>
    <x:comment ref="B15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bridge: QuickBooks all-sales export through 2026-08-05 ($64,673.49 ex-tax) plus portal shipped revenue from 2026-08-06 through 2026-08-21 ($8,936.40). Estimate is not an audited close.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mmm yyyy"/>
    <x:numFmt numFmtId="201" formatCode="$#,##0;[Red]($#,##0);-"/>
    <x:numFmt numFmtId="202" formatCode="#,##0;[Red](#,##0);-"/>
    <x:numFmt numFmtId="203" formatCode="$#,##0.0;[Red]($#,##0.0);-"/>
    <x:numFmt numFmtId="204" formatCode="0.00x"/>
    <x:numFmt numFmtId="205" formatCode="0.0%;[Red](0.0%);-"/>
    <x:numFmt numFmtId="206" formatCode="#,##0.0;[Red](#,##0.0);-"/>
  </x:numFmts>
  <x:fonts count="19">
    <x:font>
      <x:sz val="11"/>
      <x:name val="Carlito"/>
    </x:font>
    <x:font>
      <x:b/>
      <x:sz val="18"/>
      <x:color rgb="FFFFFFFF"/>
      <x:name val="Carlito"/>
    </x:font>
    <x:font>
      <x:sz val="10"/>
      <x:color rgb="FF475569"/>
      <x:name val="Carlito"/>
    </x:font>
    <x:font>
      <x:b/>
      <x:sz val="11"/>
      <x:color rgb="FFFFFFFF"/>
      <x:name val="Carlito"/>
    </x:font>
    <x:font>
      <x:sz val="11"/>
      <x:color rgb="FF475569"/>
      <x:name val="Carlito"/>
    </x:font>
    <x:font>
      <x:sz val="11"/>
      <x:color rgb="FF0000FF"/>
      <x:name val="Carlito"/>
    </x:font>
    <x:font>
      <x:sz val="11"/>
      <x:color rgb="FF008000"/>
      <x:name val="Carlito"/>
    </x:font>
    <x:font>
      <x:b/>
      <x:sz val="11"/>
      <x:color rgb="FFB91C1C"/>
      <x:name val="Carlito"/>
    </x:font>
    <x:font>
      <x:b/>
      <x:sz val="11"/>
      <x:color rgb="FF166534"/>
      <x:name val="Carlito"/>
    </x:font>
    <x:font>
      <x:b/>
      <x:sz val="11"/>
      <x:color rgb="FF0E7490"/>
      <x:name val="Carlito"/>
    </x:font>
    <x:font>
      <x:b/>
      <x:sz val="18"/>
      <x:name val="Carlito"/>
    </x:font>
    <x:font>
      <x:i/>
      <x:sz val="11"/>
      <x:color rgb="FF64748B"/>
      <x:name val="Carlito"/>
    </x:font>
    <x:font>
      <x:b/>
      <x:sz val="18"/>
      <x:color rgb="FF0F2747"/>
      <x:name val="Carlito"/>
    </x:font>
    <x:font>
      <x:b/>
      <x:sz val="18"/>
      <x:color rgb="FF0E7490"/>
      <x:name val="Carlito"/>
    </x:font>
    <x:font>
      <x:b/>
      <x:sz val="18"/>
      <x:color rgb="FF166534"/>
      <x:name val="Carlito"/>
    </x:font>
    <x:font>
      <x:b/>
      <x:sz val="18"/>
      <x:color rgb="FFD97706"/>
      <x:name val="Carlito"/>
    </x:font>
    <x:font>
      <x:b/>
      <x:sz val="11"/>
      <x:color rgb="FF0F2747"/>
      <x:name val="Carlito"/>
    </x:font>
    <x:font>
      <x:b/>
      <x:sz val="11"/>
      <x:color rgb="FFD97706"/>
      <x:name val="Carlito"/>
    </x:font>
    <x:font>
      <x:sz val="11"/>
      <x:color rgb="FF111827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0F2747"/>
      </x:patternFill>
    </x:fill>
    <x:fill>
      <x:patternFill patternType="solid">
        <x:fgColor rgb="FFEAF2F8"/>
      </x:patternFill>
    </x:fill>
    <x:fill>
      <x:patternFill patternType="solid">
        <x:fgColor rgb="FFFFFBE6"/>
      </x:patternFill>
    </x:fill>
    <x:fill>
      <x:patternFill patternType="solid">
        <x:fgColor rgb="FF0E7490"/>
      </x:patternFill>
    </x:fill>
    <x:fill>
      <x:patternFill patternType="solid">
        <x:fgColor rgb="FFF8FAFC"/>
      </x:patternFill>
    </x:fill>
    <x:fill>
      <x:patternFill patternType="solid">
        <x:fgColor rgb="FFE6F6F6"/>
      </x:patternFill>
    </x:fill>
    <x:fill>
      <x:patternFill patternType="solid">
        <x:fgColor rgb="FFFFF7ED"/>
      </x:patternFill>
    </x:fill>
    <x:fill>
      <x:patternFill patternType="solid">
        <x:fgColor rgb="FFFEE2E2"/>
      </x:patternFill>
    </x:fill>
    <x:fill>
      <x:patternFill patternType="solid">
        <x:fgColor rgb="FFDCFCE7"/>
      </x:patternFill>
    </x:fill>
    <x:fill>
      <x:patternFill patternType="solid">
        <x:fgColor rgb="FFFFFFFF"/>
      </x:patternFill>
    </x:fill>
  </x:fills>
  <x:borders count="42">
    <x:border/>
    <x:border>
      <x:left style="thin">
        <x:color rgb="FF0F2747"/>
      </x:left>
      <x:top style="thin">
        <x:color rgb="FF0F2747"/>
      </x:top>
      <x:bottom style="thin">
        <x:color rgb="FF0F2747"/>
      </x:bottom>
    </x:border>
    <x:border>
      <x:top style="thin">
        <x:color rgb="FF0F2747"/>
      </x:top>
      <x:bottom style="thin">
        <x:color rgb="FF0F2747"/>
      </x:bottom>
    </x:border>
    <x:border>
      <x:right style="thin">
        <x:color rgb="FF0F2747"/>
      </x:right>
      <x:top style="thin">
        <x:color rgb="FF0F2747"/>
      </x:top>
      <x:bottom style="thin">
        <x:color rgb="FF0F2747"/>
      </x:bottom>
    </x:border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medium">
        <x:color rgb="FF0F2747"/>
      </x:left>
      <x:top style="medium">
        <x:color rgb="FF0F2747"/>
      </x:top>
    </x:border>
    <x:border>
      <x:right style="medium">
        <x:color rgb="FF0F2747"/>
      </x:right>
      <x:top style="medium">
        <x:color rgb="FF0F2747"/>
      </x:top>
    </x:border>
    <x:border>
      <x:left style="medium">
        <x:color rgb="FF0F2747"/>
      </x:left>
    </x:border>
    <x:border>
      <x:right style="medium">
        <x:color rgb="FF0F2747"/>
      </x:right>
    </x:border>
    <x:border>
      <x:left style="medium">
        <x:color rgb="FF0F2747"/>
      </x:left>
      <x:bottom style="medium">
        <x:color rgb="FF0F2747"/>
      </x:bottom>
    </x:border>
    <x:border>
      <x:right style="medium">
        <x:color rgb="FF0F2747"/>
      </x:right>
      <x:bottom style="medium">
        <x:color rgb="FF0F2747"/>
      </x:bottom>
    </x:border>
    <x:border>
      <x:left style="thin">
        <x:color rgb="FF0F2747"/>
      </x:left>
      <x:top style="thin">
        <x:color rgb="FF0F2747"/>
      </x:top>
    </x:border>
    <x:border>
      <x:top style="thin">
        <x:color rgb="FF0F2747"/>
      </x:top>
    </x:border>
    <x:border>
      <x:right style="thin">
        <x:color rgb="FF0F2747"/>
      </x:right>
      <x:top style="thin">
        <x:color rgb="FF0F2747"/>
      </x:top>
    </x:border>
    <x:border>
      <x:left style="thin">
        <x:color rgb="FF0F2747"/>
      </x:left>
      <x:bottom style="thin">
        <x:color rgb="FF0F2747"/>
      </x:bottom>
    </x:border>
    <x:border>
      <x:bottom style="thin">
        <x:color rgb="FF0F2747"/>
      </x:bottom>
    </x:border>
    <x:border>
      <x:right style="thin">
        <x:color rgb="FF0F2747"/>
      </x:right>
      <x:bottom style="thin">
        <x:color rgb="FF0F2747"/>
      </x:bottom>
    </x:border>
    <x:border>
      <x:left style="thin">
        <x:color rgb="FF0E7490"/>
      </x:left>
      <x:top style="thin">
        <x:color rgb="FF0E7490"/>
      </x:top>
    </x:border>
    <x:border>
      <x:top style="thin">
        <x:color rgb="FF0E7490"/>
      </x:top>
    </x:border>
    <x:border>
      <x:right style="thin">
        <x:color rgb="FF0E7490"/>
      </x:right>
      <x:top style="thin">
        <x:color rgb="FF0E7490"/>
      </x:top>
    </x:border>
    <x:border>
      <x:left style="thin">
        <x:color rgb="FF0E7490"/>
      </x:left>
      <x:bottom style="thin">
        <x:color rgb="FF0E7490"/>
      </x:bottom>
    </x:border>
    <x:border>
      <x:bottom style="thin">
        <x:color rgb="FF0E7490"/>
      </x:bottom>
    </x:border>
    <x:border>
      <x:right style="thin">
        <x:color rgb="FF0E7490"/>
      </x:right>
      <x:bottom style="thin">
        <x:color rgb="FF0E7490"/>
      </x:bottom>
    </x:border>
    <x:border>
      <x:left style="thin">
        <x:color rgb="FF166534"/>
      </x:left>
      <x:top style="thin">
        <x:color rgb="FF166534"/>
      </x:top>
    </x:border>
    <x:border>
      <x:top style="thin">
        <x:color rgb="FF166534"/>
      </x:top>
    </x:border>
    <x:border>
      <x:right style="thin">
        <x:color rgb="FF166534"/>
      </x:right>
      <x:top style="thin">
        <x:color rgb="FF166534"/>
      </x:top>
    </x:border>
    <x:border>
      <x:left style="thin">
        <x:color rgb="FF166534"/>
      </x:left>
      <x:bottom style="thin">
        <x:color rgb="FF166534"/>
      </x:bottom>
    </x:border>
    <x:border>
      <x:bottom style="thin">
        <x:color rgb="FF166534"/>
      </x:bottom>
    </x:border>
    <x:border>
      <x:right style="thin">
        <x:color rgb="FF166534"/>
      </x:right>
      <x:bottom style="thin">
        <x:color rgb="FF166534"/>
      </x:bottom>
    </x:border>
    <x:border>
      <x:left style="thin">
        <x:color rgb="FFD97706"/>
      </x:left>
      <x:top style="thin">
        <x:color rgb="FFD97706"/>
      </x:top>
    </x:border>
    <x:border>
      <x:top style="thin">
        <x:color rgb="FFD97706"/>
      </x:top>
    </x:border>
    <x:border>
      <x:right style="thin">
        <x:color rgb="FFD97706"/>
      </x:right>
      <x:top style="thin">
        <x:color rgb="FFD97706"/>
      </x:top>
    </x:border>
    <x:border>
      <x:left style="thin">
        <x:color rgb="FFD97706"/>
      </x:left>
      <x:bottom style="thin">
        <x:color rgb="FFD97706"/>
      </x:bottom>
    </x:border>
    <x:border>
      <x:bottom style="thin">
        <x:color rgb="FFD97706"/>
      </x:bottom>
    </x:border>
    <x:border>
      <x:right style="thin">
        <x:color rgb="FFD97706"/>
      </x:right>
      <x:bottom style="thin">
        <x:color rgb="FFD97706"/>
      </x:bottom>
    </x:border>
    <x:border>
      <x:left style="thin">
        <x:color rgb="FF0F2747"/>
      </x:left>
      <x:top style="thin">
        <x:color rgb="FF0F2747"/>
      </x:top>
      <x:bottom style="thin">
        <x:color rgb="FFCBD5E1"/>
      </x:bottom>
    </x:border>
    <x:border>
      <x:top style="thin">
        <x:color rgb="FF0F2747"/>
      </x:top>
      <x:bottom style="thin">
        <x:color rgb="FFCBD5E1"/>
      </x:bottom>
    </x:border>
    <x:border>
      <x:left style="thin">
        <x:color rgb="FF0F2747"/>
      </x:left>
      <x:top style="thin">
        <x:color rgb="FFCBD5E1"/>
      </x:top>
      <x:bottom style="thin">
        <x:color rgb="FFCBD5E1"/>
      </x:bottom>
    </x:border>
    <x:border>
      <x:left style="thin">
        <x:color rgb="FF0F2747"/>
      </x:left>
      <x:top style="thin">
        <x:color rgb="FFCBD5E1"/>
      </x:top>
      <x:bottom style="thin">
        <x:color rgb="FF0F2747"/>
      </x:bottom>
    </x:border>
    <x:border>
      <x:top style="thin">
        <x:color rgb="FFCBD5E1"/>
      </x:top>
      <x:bottom style="thin">
        <x:color rgb="FF0F2747"/>
      </x:bottom>
    </x:border>
  </x:borders>
  <x:cellStyleXfs count="1">
    <x:xf numFmtId="0" fontId="0" fillId="0" borderId="0"/>
  </x:cellStyleXfs>
  <x:cellXfs count="27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4" xfId="0" applyNumberFormat="1" applyFont="1" applyFill="1" applyBorder="1"/>
    <x:xf numFmtId="200" fontId="0" fillId="0" borderId="5" xfId="0" applyNumberFormat="1" applyFont="1" applyFill="1" applyBorder="1"/>
    <x:xf numFmtId="200" fontId="0" fillId="0" borderId="6" xfId="0" applyNumberFormat="1" applyFont="1" applyFill="1" applyBorder="1"/>
    <x:xf numFmtId="201" fontId="0" fillId="0" borderId="4" xfId="0" applyNumberFormat="1" applyFont="1" applyFill="1" applyBorder="1"/>
    <x:xf numFmtId="201" fontId="0" fillId="0" borderId="5" xfId="0" applyNumberFormat="1" applyFont="1" applyFill="1" applyBorder="1"/>
    <x:xf numFmtId="201" fontId="0" fillId="0" borderId="6" xfId="0" applyNumberFormat="1" applyFont="1" applyFill="1" applyBorder="1"/>
    <x:xf numFmtId="202" fontId="0" fillId="0" borderId="4" xfId="0" applyNumberFormat="1" applyFont="1" applyFill="1" applyBorder="1"/>
    <x:xf numFmtId="202" fontId="0" fillId="0" borderId="5" xfId="0" applyNumberFormat="1" applyFont="1" applyFill="1" applyBorder="1"/>
    <x:xf numFmtId="202" fontId="0" fillId="0" borderId="6" xfId="0" applyNumberFormat="1" applyFont="1" applyFill="1" applyBorder="1"/>
    <x:xf numFmtId="203" fontId="0" fillId="0" borderId="4" xfId="0" applyNumberFormat="1" applyFont="1" applyFill="1" applyBorder="1"/>
    <x:xf numFmtId="203" fontId="0" fillId="0" borderId="5" xfId="0" applyNumberFormat="1" applyFont="1" applyFill="1" applyBorder="1"/>
    <x:xf numFmtId="203" fontId="0" fillId="0" borderId="6" xfId="0" applyNumberFormat="1" applyFont="1" applyFill="1" applyBorder="1"/>
    <x:xf numFmtId="204" fontId="0" fillId="0" borderId="4" xfId="0" applyNumberFormat="1" applyFont="1" applyFill="1" applyBorder="1"/>
    <x:xf numFmtId="204" fontId="0" fillId="0" borderId="5" xfId="0" applyNumberFormat="1" applyFont="1" applyFill="1" applyBorder="1"/>
    <x:xf numFmtId="204" fontId="0" fillId="0" borderId="6" xfId="0" applyNumberFormat="1" applyFont="1" applyFill="1" applyBorder="1"/>
    <x:xf numFmtId="205" fontId="0" fillId="0" borderId="4" xfId="0" applyNumberFormat="1" applyFont="1" applyFill="1" applyBorder="1"/>
    <x:xf numFmtId="205" fontId="0" fillId="0" borderId="5" xfId="0" applyNumberFormat="1" applyFont="1" applyFill="1" applyBorder="1"/>
    <x:xf numFmtId="205" fontId="0" fillId="0" borderId="6" xfId="0" applyNumberFormat="1" applyFont="1" applyFill="1" applyBorder="1"/>
    <x:xf numFmtId="200" fontId="0" fillId="4" borderId="6" xfId="0" applyNumberFormat="1" applyFont="1" applyFill="1" applyBorder="1"/>
    <x:xf numFmtId="0" fontId="0" fillId="4" borderId="6" xfId="0" applyNumberFormat="1" applyFont="1" applyFill="1" applyBorder="1"/>
    <x:xf numFmtId="201" fontId="0" fillId="4" borderId="6" xfId="0" applyNumberFormat="1" applyFont="1" applyFill="1" applyBorder="1"/>
    <x:xf numFmtId="202" fontId="0" fillId="4" borderId="6" xfId="0" applyNumberFormat="1" applyFont="1" applyFill="1" applyBorder="1"/>
    <x:xf numFmtId="203" fontId="0" fillId="4" borderId="6" xfId="0" applyNumberFormat="1" applyFont="1" applyFill="1" applyBorder="1"/>
    <x:xf numFmtId="204" fontId="0" fillId="4" borderId="6" xfId="0" applyNumberFormat="1" applyFont="1" applyFill="1" applyBorder="1"/>
    <x:xf numFmtId="205" fontId="0" fillId="4" borderId="6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top" wrapText="1"/>
    </x:xf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5" fillId="4" borderId="4" xfId="0" applyNumberFormat="1" applyFont="1" applyFill="1" applyBorder="1"/>
    <x:xf numFmtId="0" fontId="5" fillId="4" borderId="5" xfId="0" applyNumberFormat="1" applyFont="1" applyFill="1" applyBorder="1"/>
    <x:xf numFmtId="0" fontId="5" fillId="4" borderId="6" xfId="0" applyNumberFormat="1" applyFont="1" applyFill="1" applyBorder="1"/>
    <x:xf numFmtId="202" fontId="5" fillId="4" borderId="4" xfId="0" applyNumberFormat="1" applyFont="1" applyFill="1" applyBorder="1"/>
    <x:xf numFmtId="205" fontId="5" fillId="4" borderId="5" xfId="0" applyNumberFormat="1" applyFont="1" applyFill="1" applyBorder="1"/>
    <x:xf numFmtId="206" fontId="5" fillId="4" borderId="5" xfId="0" applyNumberFormat="1" applyFont="1" applyFill="1" applyBorder="1"/>
    <x:xf numFmtId="204" fontId="5" fillId="4" borderId="5" xfId="0" applyNumberFormat="1" applyFont="1" applyFill="1" applyBorder="1"/>
    <x:xf numFmtId="201" fontId="5" fillId="4" borderId="5" xfId="0" applyNumberFormat="1" applyFont="1" applyFill="1" applyBorder="1"/>
    <x:xf numFmtId="201" fontId="5" fillId="4" borderId="6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6" fillId="0" borderId="6" xfId="0" applyNumberFormat="1" applyFont="1" applyFill="1" applyBorder="1"/>
    <x:xf numFmtId="0" fontId="6" fillId="0" borderId="4" xfId="0" applyNumberFormat="1" applyFont="1" applyFill="1" applyBorder="1"/>
    <x:xf numFmtId="0" fontId="6" fillId="0" borderId="5" xfId="0" applyNumberFormat="1" applyFont="1" applyFill="1" applyBorder="1"/>
    <x:xf numFmtId="201" fontId="6" fillId="0" borderId="4" xfId="0" applyNumberFormat="1" applyFont="1" applyFill="1" applyBorder="1"/>
    <x:xf numFmtId="201" fontId="6" fillId="0" borderId="5" xfId="0" applyNumberFormat="1" applyFont="1" applyFill="1" applyBorder="1"/>
    <x:xf numFmtId="201" fontId="6" fillId="0" borderId="6" xfId="0" applyNumberFormat="1" applyFont="1" applyFill="1" applyBorder="1"/>
    <x:xf numFmtId="206" fontId="0" fillId="0" borderId="4" xfId="0" applyNumberFormat="1" applyFont="1" applyFill="1" applyBorder="1"/>
    <x:xf numFmtId="206" fontId="0" fillId="0" borderId="5" xfId="0" applyNumberFormat="1" applyFont="1" applyFill="1" applyBorder="1"/>
    <x:xf numFmtId="206" fontId="0" fillId="0" borderId="6" xfId="0" applyNumberFormat="1" applyFont="1" applyFill="1" applyBorder="1"/>
    <x:xf numFmtId="201" fontId="0" fillId="3" borderId="4" xfId="0" applyNumberFormat="1" applyFont="1" applyFill="1" applyBorder="1"/>
    <x:xf numFmtId="201" fontId="0" fillId="3" borderId="5" xfId="0" applyNumberFormat="1" applyFont="1" applyFill="1" applyBorder="1"/>
    <x:xf numFmtId="201" fontId="0" fillId="3" borderId="6" xfId="0" applyNumberFormat="1" applyFont="1" applyFill="1" applyBorder="1"/>
    <x:xf numFmtId="201" fontId="0" fillId="7" borderId="4" xfId="0" applyNumberFormat="1" applyFont="1" applyFill="1" applyBorder="1"/>
    <x:xf numFmtId="201" fontId="0" fillId="7" borderId="5" xfId="0" applyNumberFormat="1" applyFont="1" applyFill="1" applyBorder="1"/>
    <x:xf numFmtId="201" fontId="0" fillId="7" borderId="6" xfId="0" applyNumberFormat="1" applyFont="1" applyFill="1" applyBorder="1"/>
    <x:xf numFmtId="201" fontId="0" fillId="8" borderId="4" xfId="0" applyNumberFormat="1" applyFont="1" applyFill="1" applyBorder="1"/>
    <x:xf numFmtId="201" fontId="0" fillId="8" borderId="5" xfId="0" applyNumberFormat="1" applyFont="1" applyFill="1" applyBorder="1"/>
    <x:xf numFmtId="201" fontId="0" fillId="8" borderId="6" xfId="0" applyNumberFormat="1" applyFont="1" applyFill="1" applyBorder="1"/>
    <x:xf numFmtId="0" fontId="0" fillId="9" borderId="5" xfId="0" applyNumberFormat="1" applyFont="1" applyFill="1" applyBorder="1"/>
    <x:xf numFmtId="0" fontId="7" fillId="9" borderId="5" xfId="0" applyNumberFormat="1" applyFont="1" applyFill="1" applyBorder="1"/>
    <x:xf numFmtId="0" fontId="0" fillId="10" borderId="4" xfId="0" applyNumberFormat="1" applyFont="1" applyFill="1" applyBorder="1"/>
    <x:xf numFmtId="0" fontId="0" fillId="10" borderId="5" xfId="0" applyNumberFormat="1" applyFont="1" applyFill="1" applyBorder="1"/>
    <x:xf numFmtId="0" fontId="8" fillId="10" borderId="4" xfId="0" applyNumberFormat="1" applyFont="1" applyFill="1" applyBorder="1"/>
    <x:xf numFmtId="0" fontId="8" fillId="10" borderId="5" xfId="0" applyNumberFormat="1" applyFont="1" applyFill="1" applyBorder="1"/>
    <x:xf numFmtId="0" fontId="0" fillId="7" borderId="6" xfId="0" applyNumberFormat="1" applyFont="1" applyFill="1" applyBorder="1"/>
    <x:xf numFmtId="0" fontId="9" fillId="7" borderId="6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wrapText="1"/>
    </x:xf>
    <x:xf numFmtId="0" fontId="4" fillId="8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/>
    </x:xf>
    <x:xf numFmtId="0" fontId="10" fillId="0" borderId="0" xfId="0" applyNumberFormat="1" applyFont="1" applyFill="1" applyBorder="1"/>
    <x:xf numFmtId="0" fontId="10" fillId="0" borderId="7" xfId="0" applyNumberFormat="1" applyFont="1" applyFill="1" applyBorder="1"/>
    <x:xf numFmtId="0" fontId="10" fillId="0" borderId="8" xfId="0" applyNumberFormat="1" applyFont="1" applyFill="1" applyBorder="1"/>
    <x:xf numFmtId="0" fontId="10" fillId="0" borderId="9" xfId="0" applyNumberFormat="1" applyFont="1" applyFill="1" applyBorder="1"/>
    <x:xf numFmtId="0" fontId="10" fillId="0" borderId="10" xfId="0" applyNumberFormat="1" applyFont="1" applyFill="1" applyBorder="1"/>
    <x:xf numFmtId="0" fontId="10" fillId="0" borderId="11" xfId="0" applyNumberFormat="1" applyFont="1" applyFill="1" applyBorder="1"/>
    <x:xf numFmtId="0" fontId="10" fillId="0" borderId="12" xfId="0" applyNumberFormat="1" applyFont="1" applyFill="1" applyBorder="1"/>
    <x:xf numFmtId="0" fontId="10" fillId="0" borderId="7" xfId="0" applyNumberFormat="1" applyFont="1" applyFill="1" applyBorder="1" applyAlignment="1">
      <x:alignment horizontal="center"/>
    </x:xf>
    <x:xf numFmtId="0" fontId="10" fillId="0" borderId="8" xfId="0" applyNumberFormat="1" applyFont="1" applyFill="1" applyBorder="1" applyAlignment="1">
      <x:alignment horizontal="center"/>
    </x:xf>
    <x:xf numFmtId="0" fontId="10" fillId="0" borderId="9" xfId="0" applyNumberFormat="1" applyFont="1" applyFill="1" applyBorder="1" applyAlignment="1">
      <x:alignment horizontal="center"/>
    </x:xf>
    <x:xf numFmtId="0" fontId="10" fillId="0" borderId="10" xfId="0" applyNumberFormat="1" applyFont="1" applyFill="1" applyBorder="1" applyAlignment="1">
      <x:alignment horizontal="center"/>
    </x:xf>
    <x:xf numFmtId="0" fontId="10" fillId="0" borderId="11" xfId="0" applyNumberFormat="1" applyFont="1" applyFill="1" applyBorder="1" applyAlignment="1">
      <x:alignment horizontal="center"/>
    </x:xf>
    <x:xf numFmtId="0" fontId="10" fillId="0" borderId="12" xfId="0" applyNumberFormat="1" applyFont="1" applyFill="1" applyBorder="1" applyAlignment="1">
      <x:alignment horizontal="center"/>
    </x:xf>
    <x:xf numFmtId="0" fontId="10" fillId="0" borderId="7" xfId="0" applyNumberFormat="1" applyFont="1" applyFill="1" applyBorder="1" applyAlignment="1">
      <x:alignment horizontal="center" vertical="center"/>
    </x:xf>
    <x:xf numFmtId="0" fontId="10" fillId="0" borderId="8" xfId="0" applyNumberFormat="1" applyFont="1" applyFill="1" applyBorder="1" applyAlignment="1">
      <x:alignment horizontal="center" vertical="center"/>
    </x:xf>
    <x:xf numFmtId="0" fontId="10" fillId="0" borderId="9" xfId="0" applyNumberFormat="1" applyFont="1" applyFill="1" applyBorder="1" applyAlignment="1">
      <x:alignment horizontal="center" vertical="center"/>
    </x:xf>
    <x:xf numFmtId="0" fontId="10" fillId="0" borderId="10" xfId="0" applyNumberFormat="1" applyFont="1" applyFill="1" applyBorder="1" applyAlignment="1">
      <x:alignment horizontal="center" vertical="center"/>
    </x:xf>
    <x:xf numFmtId="0" fontId="10" fillId="0" borderId="11" xfId="0" applyNumberFormat="1" applyFont="1" applyFill="1" applyBorder="1" applyAlignment="1">
      <x:alignment horizontal="center" vertical="center"/>
    </x:xf>
    <x:xf numFmtId="0" fontId="10" fillId="0" borderId="12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/>
    <x:xf numFmtId="0" fontId="11" fillId="11" borderId="0" xfId="0" applyNumberFormat="1" applyFont="1" applyFill="1" applyBorder="1"/>
    <x:xf numFmtId="0" fontId="11" fillId="11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center" vertical="center"/>
    </x:xf>
    <x:xf numFmtId="0" fontId="12" fillId="3" borderId="0" xfId="0" applyNumberFormat="1" applyFont="1" applyFill="1" applyBorder="1"/>
    <x:xf numFmtId="0" fontId="12" fillId="3" borderId="13" xfId="0" applyNumberFormat="1" applyFont="1" applyFill="1" applyBorder="1"/>
    <x:xf numFmtId="0" fontId="12" fillId="3" borderId="14" xfId="0" applyNumberFormat="1" applyFont="1" applyFill="1" applyBorder="1"/>
    <x:xf numFmtId="0" fontId="12" fillId="3" borderId="15" xfId="0" applyNumberFormat="1" applyFont="1" applyFill="1" applyBorder="1"/>
    <x:xf numFmtId="0" fontId="12" fillId="3" borderId="16" xfId="0" applyNumberFormat="1" applyFont="1" applyFill="1" applyBorder="1"/>
    <x:xf numFmtId="0" fontId="12" fillId="3" borderId="17" xfId="0" applyNumberFormat="1" applyFont="1" applyFill="1" applyBorder="1"/>
    <x:xf numFmtId="0" fontId="12" fillId="3" borderId="18" xfId="0" applyNumberFormat="1" applyFont="1" applyFill="1" applyBorder="1"/>
    <x:xf numFmtId="201" fontId="12" fillId="3" borderId="13" xfId="0" applyNumberFormat="1" applyFont="1" applyFill="1" applyBorder="1"/>
    <x:xf numFmtId="201" fontId="12" fillId="3" borderId="14" xfId="0" applyNumberFormat="1" applyFont="1" applyFill="1" applyBorder="1"/>
    <x:xf numFmtId="201" fontId="12" fillId="3" borderId="15" xfId="0" applyNumberFormat="1" applyFont="1" applyFill="1" applyBorder="1"/>
    <x:xf numFmtId="201" fontId="12" fillId="3" borderId="16" xfId="0" applyNumberFormat="1" applyFont="1" applyFill="1" applyBorder="1"/>
    <x:xf numFmtId="201" fontId="12" fillId="3" borderId="17" xfId="0" applyNumberFormat="1" applyFont="1" applyFill="1" applyBorder="1"/>
    <x:xf numFmtId="201" fontId="12" fillId="3" borderId="18" xfId="0" applyNumberFormat="1" applyFont="1" applyFill="1" applyBorder="1"/>
    <x:xf numFmtId="201" fontId="12" fillId="3" borderId="13" xfId="0" applyNumberFormat="1" applyFont="1" applyFill="1" applyBorder="1" applyAlignment="1">
      <x:alignment horizontal="center"/>
    </x:xf>
    <x:xf numFmtId="201" fontId="12" fillId="3" borderId="14" xfId="0" applyNumberFormat="1" applyFont="1" applyFill="1" applyBorder="1" applyAlignment="1">
      <x:alignment horizontal="center"/>
    </x:xf>
    <x:xf numFmtId="201" fontId="12" fillId="3" borderId="15" xfId="0" applyNumberFormat="1" applyFont="1" applyFill="1" applyBorder="1" applyAlignment="1">
      <x:alignment horizontal="center"/>
    </x:xf>
    <x:xf numFmtId="201" fontId="12" fillId="3" borderId="16" xfId="0" applyNumberFormat="1" applyFont="1" applyFill="1" applyBorder="1" applyAlignment="1">
      <x:alignment horizontal="center"/>
    </x:xf>
    <x:xf numFmtId="201" fontId="12" fillId="3" borderId="17" xfId="0" applyNumberFormat="1" applyFont="1" applyFill="1" applyBorder="1" applyAlignment="1">
      <x:alignment horizontal="center"/>
    </x:xf>
    <x:xf numFmtId="201" fontId="12" fillId="3" borderId="18" xfId="0" applyNumberFormat="1" applyFont="1" applyFill="1" applyBorder="1" applyAlignment="1">
      <x:alignment horizontal="center"/>
    </x:xf>
    <x:xf numFmtId="201" fontId="12" fillId="3" borderId="13" xfId="0" applyNumberFormat="1" applyFont="1" applyFill="1" applyBorder="1" applyAlignment="1">
      <x:alignment horizontal="center" vertical="center"/>
    </x:xf>
    <x:xf numFmtId="201" fontId="12" fillId="3" borderId="14" xfId="0" applyNumberFormat="1" applyFont="1" applyFill="1" applyBorder="1" applyAlignment="1">
      <x:alignment horizontal="center" vertical="center"/>
    </x:xf>
    <x:xf numFmtId="201" fontId="12" fillId="3" borderId="15" xfId="0" applyNumberFormat="1" applyFont="1" applyFill="1" applyBorder="1" applyAlignment="1">
      <x:alignment horizontal="center" vertical="center"/>
    </x:xf>
    <x:xf numFmtId="201" fontId="12" fillId="3" borderId="16" xfId="0" applyNumberFormat="1" applyFont="1" applyFill="1" applyBorder="1" applyAlignment="1">
      <x:alignment horizontal="center" vertical="center"/>
    </x:xf>
    <x:xf numFmtId="201" fontId="12" fillId="3" borderId="17" xfId="0" applyNumberFormat="1" applyFont="1" applyFill="1" applyBorder="1" applyAlignment="1">
      <x:alignment horizontal="center" vertical="center"/>
    </x:xf>
    <x:xf numFmtId="201" fontId="12" fillId="3" borderId="18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13" fillId="7" borderId="0" xfId="0" applyNumberFormat="1" applyFont="1" applyFill="1" applyBorder="1"/>
    <x:xf numFmtId="0" fontId="13" fillId="7" borderId="19" xfId="0" applyNumberFormat="1" applyFont="1" applyFill="1" applyBorder="1"/>
    <x:xf numFmtId="0" fontId="13" fillId="7" borderId="20" xfId="0" applyNumberFormat="1" applyFont="1" applyFill="1" applyBorder="1"/>
    <x:xf numFmtId="0" fontId="13" fillId="7" borderId="21" xfId="0" applyNumberFormat="1" applyFont="1" applyFill="1" applyBorder="1"/>
    <x:xf numFmtId="0" fontId="13" fillId="7" borderId="22" xfId="0" applyNumberFormat="1" applyFont="1" applyFill="1" applyBorder="1"/>
    <x:xf numFmtId="0" fontId="13" fillId="7" borderId="23" xfId="0" applyNumberFormat="1" applyFont="1" applyFill="1" applyBorder="1"/>
    <x:xf numFmtId="0" fontId="13" fillId="7" borderId="24" xfId="0" applyNumberFormat="1" applyFont="1" applyFill="1" applyBorder="1"/>
    <x:xf numFmtId="201" fontId="13" fillId="7" borderId="19" xfId="0" applyNumberFormat="1" applyFont="1" applyFill="1" applyBorder="1"/>
    <x:xf numFmtId="201" fontId="13" fillId="7" borderId="20" xfId="0" applyNumberFormat="1" applyFont="1" applyFill="1" applyBorder="1"/>
    <x:xf numFmtId="201" fontId="13" fillId="7" borderId="21" xfId="0" applyNumberFormat="1" applyFont="1" applyFill="1" applyBorder="1"/>
    <x:xf numFmtId="201" fontId="13" fillId="7" borderId="22" xfId="0" applyNumberFormat="1" applyFont="1" applyFill="1" applyBorder="1"/>
    <x:xf numFmtId="201" fontId="13" fillId="7" borderId="23" xfId="0" applyNumberFormat="1" applyFont="1" applyFill="1" applyBorder="1"/>
    <x:xf numFmtId="201" fontId="13" fillId="7" borderId="24" xfId="0" applyNumberFormat="1" applyFont="1" applyFill="1" applyBorder="1"/>
    <x:xf numFmtId="201" fontId="13" fillId="7" borderId="19" xfId="0" applyNumberFormat="1" applyFont="1" applyFill="1" applyBorder="1" applyAlignment="1">
      <x:alignment horizontal="center"/>
    </x:xf>
    <x:xf numFmtId="201" fontId="13" fillId="7" borderId="20" xfId="0" applyNumberFormat="1" applyFont="1" applyFill="1" applyBorder="1" applyAlignment="1">
      <x:alignment horizontal="center"/>
    </x:xf>
    <x:xf numFmtId="201" fontId="13" fillId="7" borderId="21" xfId="0" applyNumberFormat="1" applyFont="1" applyFill="1" applyBorder="1" applyAlignment="1">
      <x:alignment horizontal="center"/>
    </x:xf>
    <x:xf numFmtId="201" fontId="13" fillId="7" borderId="22" xfId="0" applyNumberFormat="1" applyFont="1" applyFill="1" applyBorder="1" applyAlignment="1">
      <x:alignment horizontal="center"/>
    </x:xf>
    <x:xf numFmtId="201" fontId="13" fillId="7" borderId="23" xfId="0" applyNumberFormat="1" applyFont="1" applyFill="1" applyBorder="1" applyAlignment="1">
      <x:alignment horizontal="center"/>
    </x:xf>
    <x:xf numFmtId="201" fontId="13" fillId="7" borderId="24" xfId="0" applyNumberFormat="1" applyFont="1" applyFill="1" applyBorder="1" applyAlignment="1">
      <x:alignment horizontal="center"/>
    </x:xf>
    <x:xf numFmtId="201" fontId="13" fillId="7" borderId="19" xfId="0" applyNumberFormat="1" applyFont="1" applyFill="1" applyBorder="1" applyAlignment="1">
      <x:alignment horizontal="center" vertical="center"/>
    </x:xf>
    <x:xf numFmtId="201" fontId="13" fillId="7" borderId="20" xfId="0" applyNumberFormat="1" applyFont="1" applyFill="1" applyBorder="1" applyAlignment="1">
      <x:alignment horizontal="center" vertical="center"/>
    </x:xf>
    <x:xf numFmtId="201" fontId="13" fillId="7" borderId="21" xfId="0" applyNumberFormat="1" applyFont="1" applyFill="1" applyBorder="1" applyAlignment="1">
      <x:alignment horizontal="center" vertical="center"/>
    </x:xf>
    <x:xf numFmtId="201" fontId="13" fillId="7" borderId="22" xfId="0" applyNumberFormat="1" applyFont="1" applyFill="1" applyBorder="1" applyAlignment="1">
      <x:alignment horizontal="center" vertical="center"/>
    </x:xf>
    <x:xf numFmtId="201" fontId="13" fillId="7" borderId="23" xfId="0" applyNumberFormat="1" applyFont="1" applyFill="1" applyBorder="1" applyAlignment="1">
      <x:alignment horizontal="center" vertical="center"/>
    </x:xf>
    <x:xf numFmtId="201" fontId="13" fillId="7" borderId="24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14" fillId="10" borderId="0" xfId="0" applyNumberFormat="1" applyFont="1" applyFill="1" applyBorder="1"/>
    <x:xf numFmtId="0" fontId="14" fillId="10" borderId="25" xfId="0" applyNumberFormat="1" applyFont="1" applyFill="1" applyBorder="1"/>
    <x:xf numFmtId="0" fontId="14" fillId="10" borderId="26" xfId="0" applyNumberFormat="1" applyFont="1" applyFill="1" applyBorder="1"/>
    <x:xf numFmtId="0" fontId="14" fillId="10" borderId="27" xfId="0" applyNumberFormat="1" applyFont="1" applyFill="1" applyBorder="1"/>
    <x:xf numFmtId="0" fontId="14" fillId="10" borderId="28" xfId="0" applyNumberFormat="1" applyFont="1" applyFill="1" applyBorder="1"/>
    <x:xf numFmtId="0" fontId="14" fillId="10" borderId="29" xfId="0" applyNumberFormat="1" applyFont="1" applyFill="1" applyBorder="1"/>
    <x:xf numFmtId="0" fontId="14" fillId="10" borderId="30" xfId="0" applyNumberFormat="1" applyFont="1" applyFill="1" applyBorder="1"/>
    <x:xf numFmtId="201" fontId="14" fillId="10" borderId="25" xfId="0" applyNumberFormat="1" applyFont="1" applyFill="1" applyBorder="1"/>
    <x:xf numFmtId="201" fontId="14" fillId="10" borderId="26" xfId="0" applyNumberFormat="1" applyFont="1" applyFill="1" applyBorder="1"/>
    <x:xf numFmtId="201" fontId="14" fillId="10" borderId="27" xfId="0" applyNumberFormat="1" applyFont="1" applyFill="1" applyBorder="1"/>
    <x:xf numFmtId="201" fontId="14" fillId="10" borderId="28" xfId="0" applyNumberFormat="1" applyFont="1" applyFill="1" applyBorder="1"/>
    <x:xf numFmtId="201" fontId="14" fillId="10" borderId="29" xfId="0" applyNumberFormat="1" applyFont="1" applyFill="1" applyBorder="1"/>
    <x:xf numFmtId="201" fontId="14" fillId="10" borderId="30" xfId="0" applyNumberFormat="1" applyFont="1" applyFill="1" applyBorder="1"/>
    <x:xf numFmtId="201" fontId="14" fillId="10" borderId="25" xfId="0" applyNumberFormat="1" applyFont="1" applyFill="1" applyBorder="1" applyAlignment="1">
      <x:alignment horizontal="center"/>
    </x:xf>
    <x:xf numFmtId="201" fontId="14" fillId="10" borderId="26" xfId="0" applyNumberFormat="1" applyFont="1" applyFill="1" applyBorder="1" applyAlignment="1">
      <x:alignment horizontal="center"/>
    </x:xf>
    <x:xf numFmtId="201" fontId="14" fillId="10" borderId="27" xfId="0" applyNumberFormat="1" applyFont="1" applyFill="1" applyBorder="1" applyAlignment="1">
      <x:alignment horizontal="center"/>
    </x:xf>
    <x:xf numFmtId="201" fontId="14" fillId="10" borderId="28" xfId="0" applyNumberFormat="1" applyFont="1" applyFill="1" applyBorder="1" applyAlignment="1">
      <x:alignment horizontal="center"/>
    </x:xf>
    <x:xf numFmtId="201" fontId="14" fillId="10" borderId="29" xfId="0" applyNumberFormat="1" applyFont="1" applyFill="1" applyBorder="1" applyAlignment="1">
      <x:alignment horizontal="center"/>
    </x:xf>
    <x:xf numFmtId="201" fontId="14" fillId="10" borderId="30" xfId="0" applyNumberFormat="1" applyFont="1" applyFill="1" applyBorder="1" applyAlignment="1">
      <x:alignment horizontal="center"/>
    </x:xf>
    <x:xf numFmtId="201" fontId="14" fillId="10" borderId="25" xfId="0" applyNumberFormat="1" applyFont="1" applyFill="1" applyBorder="1" applyAlignment="1">
      <x:alignment horizontal="center" vertical="center"/>
    </x:xf>
    <x:xf numFmtId="201" fontId="14" fillId="10" borderId="26" xfId="0" applyNumberFormat="1" applyFont="1" applyFill="1" applyBorder="1" applyAlignment="1">
      <x:alignment horizontal="center" vertical="center"/>
    </x:xf>
    <x:xf numFmtId="201" fontId="14" fillId="10" borderId="27" xfId="0" applyNumberFormat="1" applyFont="1" applyFill="1" applyBorder="1" applyAlignment="1">
      <x:alignment horizontal="center" vertical="center"/>
    </x:xf>
    <x:xf numFmtId="201" fontId="14" fillId="10" borderId="28" xfId="0" applyNumberFormat="1" applyFont="1" applyFill="1" applyBorder="1" applyAlignment="1">
      <x:alignment horizontal="center" vertical="center"/>
    </x:xf>
    <x:xf numFmtId="201" fontId="14" fillId="10" borderId="29" xfId="0" applyNumberFormat="1" applyFont="1" applyFill="1" applyBorder="1" applyAlignment="1">
      <x:alignment horizontal="center" vertical="center"/>
    </x:xf>
    <x:xf numFmtId="201" fontId="14" fillId="10" borderId="30" xfId="0" applyNumberFormat="1" applyFont="1" applyFill="1" applyBorder="1" applyAlignment="1">
      <x:alignment horizontal="center" vertical="center"/>
    </x:xf>
    <x:xf numFmtId="0" fontId="15" fillId="8" borderId="0" xfId="0" applyNumberFormat="1" applyFont="1" applyFill="1" applyBorder="1"/>
    <x:xf numFmtId="0" fontId="15" fillId="8" borderId="31" xfId="0" applyNumberFormat="1" applyFont="1" applyFill="1" applyBorder="1"/>
    <x:xf numFmtId="0" fontId="15" fillId="8" borderId="32" xfId="0" applyNumberFormat="1" applyFont="1" applyFill="1" applyBorder="1"/>
    <x:xf numFmtId="0" fontId="15" fillId="8" borderId="33" xfId="0" applyNumberFormat="1" applyFont="1" applyFill="1" applyBorder="1"/>
    <x:xf numFmtId="0" fontId="15" fillId="8" borderId="34" xfId="0" applyNumberFormat="1" applyFont="1" applyFill="1" applyBorder="1"/>
    <x:xf numFmtId="0" fontId="15" fillId="8" borderId="35" xfId="0" applyNumberFormat="1" applyFont="1" applyFill="1" applyBorder="1"/>
    <x:xf numFmtId="0" fontId="15" fillId="8" borderId="36" xfId="0" applyNumberFormat="1" applyFont="1" applyFill="1" applyBorder="1"/>
    <x:xf numFmtId="201" fontId="15" fillId="8" borderId="31" xfId="0" applyNumberFormat="1" applyFont="1" applyFill="1" applyBorder="1"/>
    <x:xf numFmtId="201" fontId="15" fillId="8" borderId="32" xfId="0" applyNumberFormat="1" applyFont="1" applyFill="1" applyBorder="1"/>
    <x:xf numFmtId="201" fontId="15" fillId="8" borderId="33" xfId="0" applyNumberFormat="1" applyFont="1" applyFill="1" applyBorder="1"/>
    <x:xf numFmtId="201" fontId="15" fillId="8" borderId="34" xfId="0" applyNumberFormat="1" applyFont="1" applyFill="1" applyBorder="1"/>
    <x:xf numFmtId="201" fontId="15" fillId="8" borderId="35" xfId="0" applyNumberFormat="1" applyFont="1" applyFill="1" applyBorder="1"/>
    <x:xf numFmtId="201" fontId="15" fillId="8" borderId="36" xfId="0" applyNumberFormat="1" applyFont="1" applyFill="1" applyBorder="1"/>
    <x:xf numFmtId="201" fontId="15" fillId="8" borderId="31" xfId="0" applyNumberFormat="1" applyFont="1" applyFill="1" applyBorder="1" applyAlignment="1">
      <x:alignment horizontal="center"/>
    </x:xf>
    <x:xf numFmtId="201" fontId="15" fillId="8" borderId="32" xfId="0" applyNumberFormat="1" applyFont="1" applyFill="1" applyBorder="1" applyAlignment="1">
      <x:alignment horizontal="center"/>
    </x:xf>
    <x:xf numFmtId="201" fontId="15" fillId="8" borderId="33" xfId="0" applyNumberFormat="1" applyFont="1" applyFill="1" applyBorder="1" applyAlignment="1">
      <x:alignment horizontal="center"/>
    </x:xf>
    <x:xf numFmtId="201" fontId="15" fillId="8" borderId="34" xfId="0" applyNumberFormat="1" applyFont="1" applyFill="1" applyBorder="1" applyAlignment="1">
      <x:alignment horizontal="center"/>
    </x:xf>
    <x:xf numFmtId="201" fontId="15" fillId="8" borderId="35" xfId="0" applyNumberFormat="1" applyFont="1" applyFill="1" applyBorder="1" applyAlignment="1">
      <x:alignment horizontal="center"/>
    </x:xf>
    <x:xf numFmtId="201" fontId="15" fillId="8" borderId="36" xfId="0" applyNumberFormat="1" applyFont="1" applyFill="1" applyBorder="1" applyAlignment="1">
      <x:alignment horizontal="center"/>
    </x:xf>
    <x:xf numFmtId="201" fontId="15" fillId="8" borderId="31" xfId="0" applyNumberFormat="1" applyFont="1" applyFill="1" applyBorder="1" applyAlignment="1">
      <x:alignment horizontal="center" vertical="center"/>
    </x:xf>
    <x:xf numFmtId="201" fontId="15" fillId="8" borderId="32" xfId="0" applyNumberFormat="1" applyFont="1" applyFill="1" applyBorder="1" applyAlignment="1">
      <x:alignment horizontal="center" vertical="center"/>
    </x:xf>
    <x:xf numFmtId="201" fontId="15" fillId="8" borderId="33" xfId="0" applyNumberFormat="1" applyFont="1" applyFill="1" applyBorder="1" applyAlignment="1">
      <x:alignment horizontal="center" vertical="center"/>
    </x:xf>
    <x:xf numFmtId="201" fontId="15" fillId="8" borderId="34" xfId="0" applyNumberFormat="1" applyFont="1" applyFill="1" applyBorder="1" applyAlignment="1">
      <x:alignment horizontal="center" vertical="center"/>
    </x:xf>
    <x:xf numFmtId="201" fontId="15" fillId="8" borderId="35" xfId="0" applyNumberFormat="1" applyFont="1" applyFill="1" applyBorder="1" applyAlignment="1">
      <x:alignment horizontal="center" vertical="center"/>
    </x:xf>
    <x:xf numFmtId="201" fontId="15" fillId="8" borderId="36" xfId="0" applyNumberFormat="1" applyFont="1" applyFill="1" applyBorder="1" applyAlignment="1">
      <x:alignment horizontal="center" vertical="center"/>
    </x:xf>
    <x:xf numFmtId="0" fontId="0" fillId="3" borderId="4" xfId="0" applyNumberFormat="1" applyFont="1" applyFill="1" applyBorder="1"/>
    <x:xf numFmtId="205" fontId="0" fillId="3" borderId="4" xfId="0" applyNumberFormat="1" applyFont="1" applyFill="1" applyBorder="1"/>
    <x:xf numFmtId="0" fontId="0" fillId="3" borderId="4" xfId="0" applyNumberFormat="1" applyFont="1" applyFill="1" applyBorder="1" applyAlignment="1">
      <x:alignment wrapText="1"/>
    </x:xf>
    <x:xf numFmtId="0" fontId="0" fillId="7" borderId="5" xfId="0" applyNumberFormat="1" applyFont="1" applyFill="1" applyBorder="1"/>
    <x:xf numFmtId="205" fontId="0" fillId="7" borderId="5" xfId="0" applyNumberFormat="1" applyFont="1" applyFill="1" applyBorder="1"/>
    <x:xf numFmtId="0" fontId="0" fillId="7" borderId="5" xfId="0" applyNumberFormat="1" applyFont="1" applyFill="1" applyBorder="1" applyAlignment="1">
      <x:alignment wrapText="1"/>
    </x:xf>
    <x:xf numFmtId="0" fontId="0" fillId="8" borderId="6" xfId="0" applyNumberFormat="1" applyFont="1" applyFill="1" applyBorder="1"/>
    <x:xf numFmtId="205" fontId="0" fillId="8" borderId="6" xfId="0" applyNumberFormat="1" applyFont="1" applyFill="1" applyBorder="1"/>
    <x:xf numFmtId="0" fontId="0" fillId="8" borderId="6" xfId="0" applyNumberFormat="1" applyFont="1" applyFill="1" applyBorder="1" applyAlignment="1">
      <x:alignment wrapText="1"/>
    </x:xf>
    <x:xf numFmtId="0" fontId="0" fillId="6" borderId="4" xfId="0" applyNumberFormat="1" applyFont="1" applyFill="1" applyBorder="1"/>
    <x:xf numFmtId="0" fontId="0" fillId="6" borderId="5" xfId="0" applyNumberFormat="1" applyFont="1" applyFill="1" applyBorder="1"/>
    <x:xf numFmtId="0" fontId="0" fillId="6" borderId="6" xfId="0" applyNumberFormat="1" applyFont="1" applyFill="1" applyBorder="1"/>
    <x:xf numFmtId="0" fontId="0" fillId="6" borderId="4" xfId="0" applyNumberFormat="1" applyFont="1" applyFill="1" applyBorder="1" applyAlignment="1">
      <x:alignment wrapText="1"/>
    </x:xf>
    <x:xf numFmtId="0" fontId="0" fillId="6" borderId="5" xfId="0" applyNumberFormat="1" applyFont="1" applyFill="1" applyBorder="1" applyAlignment="1">
      <x:alignment wrapText="1"/>
    </x:xf>
    <x:xf numFmtId="0" fontId="0" fillId="6" borderId="6" xfId="0" applyNumberFormat="1" applyFont="1" applyFill="1" applyBorder="1" applyAlignment="1">
      <x:alignment wrapText="1"/>
    </x:xf>
    <x:xf numFmtId="0" fontId="16" fillId="6" borderId="4" xfId="0" applyNumberFormat="1" applyFont="1" applyFill="1" applyBorder="1"/>
    <x:xf numFmtId="0" fontId="16" fillId="6" borderId="5" xfId="0" applyNumberFormat="1" applyFont="1" applyFill="1" applyBorder="1"/>
    <x:xf numFmtId="205" fontId="0" fillId="6" borderId="5" xfId="0" applyNumberFormat="1" applyFont="1" applyFill="1" applyBorder="1"/>
    <x:xf numFmtId="0" fontId="17" fillId="4" borderId="6" xfId="0" applyNumberFormat="1" applyFont="1" applyFill="1" applyBorder="1"/>
    <x:xf numFmtId="0" fontId="17" fillId="4" borderId="6" xfId="0" applyNumberFormat="1" applyFont="1" applyFill="1" applyBorder="1" applyAlignment="1">
      <x:alignment horizontal="center"/>
    </x:xf>
    <x:xf numFmtId="0" fontId="4" fillId="6" borderId="0" xfId="0" applyNumberFormat="1" applyFont="1" applyFill="1" applyBorder="1" applyAlignment="1">
      <x:alignment vertical="center" wrapText="1"/>
    </x:xf>
    <x:xf numFmtId="0" fontId="18" fillId="6" borderId="0" xfId="0" applyNumberFormat="1" applyFont="1" applyFill="1" applyBorder="1"/>
    <x:xf numFmtId="0" fontId="18" fillId="6" borderId="4" xfId="0" applyNumberFormat="1" applyFont="1" applyFill="1" applyBorder="1"/>
    <x:xf numFmtId="0" fontId="18" fillId="6" borderId="0" xfId="0" applyNumberFormat="1" applyFont="1" applyFill="1" applyBorder="1" applyAlignment="1">
      <x:alignment wrapText="1"/>
    </x:xf>
    <x:xf numFmtId="0" fontId="18" fillId="6" borderId="4" xfId="0" applyNumberFormat="1" applyFont="1" applyFill="1" applyBorder="1" applyAlignment="1">
      <x:alignment wrapText="1"/>
    </x:xf>
    <x:xf numFmtId="0" fontId="18" fillId="6" borderId="0" xfId="0" applyNumberFormat="1" applyFont="1" applyFill="1" applyBorder="1" applyAlignment="1">
      <x:alignment vertical="center" wrapText="1"/>
    </x:xf>
    <x:xf numFmtId="0" fontId="18" fillId="6" borderId="4" xfId="0" applyNumberFormat="1" applyFont="1" applyFill="1" applyBorder="1" applyAlignment="1">
      <x:alignment vertical="center" wrapText="1"/>
    </x:xf>
    <x:xf numFmtId="0" fontId="18" fillId="11" borderId="0" xfId="0" applyNumberFormat="1" applyFont="1" applyFill="1" applyBorder="1"/>
    <x:xf numFmtId="0" fontId="18" fillId="11" borderId="4" xfId="0" applyNumberFormat="1" applyFont="1" applyFill="1" applyBorder="1"/>
    <x:xf numFmtId="0" fontId="18" fillId="11" borderId="0" xfId="0" applyNumberFormat="1" applyFont="1" applyFill="1" applyBorder="1" applyAlignment="1">
      <x:alignment wrapText="1"/>
    </x:xf>
    <x:xf numFmtId="0" fontId="18" fillId="11" borderId="4" xfId="0" applyNumberFormat="1" applyFont="1" applyFill="1" applyBorder="1" applyAlignment="1">
      <x:alignment wrapText="1"/>
    </x:xf>
    <x:xf numFmtId="0" fontId="18" fillId="11" borderId="0" xfId="0" applyNumberFormat="1" applyFont="1" applyFill="1" applyBorder="1" applyAlignment="1">
      <x:alignment vertical="center" wrapText="1"/>
    </x:xf>
    <x:xf numFmtId="0" fontId="18" fillId="11" borderId="4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0" fontId="3" fillId="2" borderId="37" xfId="0" applyNumberFormat="1" applyFont="1" applyFill="1" applyBorder="1" applyAlignment="1">
      <x:alignment horizontal="center" vertical="center" wrapText="1"/>
    </x:xf>
    <x:xf numFmtId="0" fontId="3" fillId="2" borderId="38" xfId="0" applyNumberFormat="1" applyFont="1" applyFill="1" applyBorder="1" applyAlignment="1">
      <x:alignment horizontal="center" vertical="center" wrapText="1"/>
    </x:xf>
    <x:xf numFmtId="0" fontId="0" fillId="0" borderId="39" xfId="0" applyNumberFormat="1" applyFont="1" applyFill="1" applyBorder="1"/>
    <x:xf numFmtId="0" fontId="0" fillId="0" borderId="40" xfId="0" applyNumberFormat="1" applyFont="1" applyFill="1" applyBorder="1"/>
    <x:xf numFmtId="201" fontId="0" fillId="0" borderId="41" xfId="0" applyNumberFormat="1" applyFont="1" applyFill="1" applyBorder="1"/>
  </x:cellXfs>
  <x:cellStyles count="1">
    <x:cellStyle name="Normal" xfId="0"/>
  </x:cellStyles>
  <x:dxfs count="6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7d0d7e78ca4602" /><Relationship Type="http://schemas.openxmlformats.org/officeDocument/2006/relationships/theme" Target="/xl/theme/theme1.xml" Id="R048feeb69a754e68" /><Relationship Type="http://schemas.openxmlformats.org/officeDocument/2006/relationships/sharedStrings" Target="/xl/sharedStrings.xml" Id="Ra13640650d9841ae" /><Relationship Type="http://schemas.openxmlformats.org/officeDocument/2006/relationships/worksheet" Target="/xl/worksheets/sheet1.xml" Id="Rb8414c1b414a4b1f" /><Relationship Type="http://schemas.openxmlformats.org/officeDocument/2006/relationships/worksheet" Target="/xl/worksheets/sheet2.xml" Id="Rda7373c2667d48bc" /><Relationship Type="http://schemas.openxmlformats.org/officeDocument/2006/relationships/worksheet" Target="/xl/worksheets/sheet3.xml" Id="Rb534c1fa17254ecf" /><Relationship Type="http://schemas.openxmlformats.org/officeDocument/2006/relationships/worksheet" Target="/xl/worksheets/sheet4.xml" Id="Rbef6c29c140e4035" /><Relationship Type="http://schemas.openxmlformats.org/officeDocument/2006/relationships/worksheet" Target="/xl/worksheets/sheet5.xml" Id="Rc018a45549c4405e" /><Relationship Type="http://schemas.openxmlformats.org/officeDocument/2006/relationships/worksheet" Target="/xl/worksheets/sheet6.xml" Id="R0cccfa948ecc4f0b" /><Relationship Type="http://schemas.microsoft.com/office/2017/10/relationships/person" Target="/xl/persons/person.xml" Id="Re6ac4981897a455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2bb5f5ffe324b1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Shipped Revenue: Actual and Scenario Forecast ($ / month)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Shipped actual</c:v>
          </c:tx>
          <c:spPr>
            <a:solidFill xmlns:a="http://schemas.openxmlformats.org/drawingml/2006/main">
              <a:srgbClr val="0F2747"/>
            </a:solidFill>
          </c:spPr>
          <c:marker>
            <c:symbol val="none"/>
          </c:marker>
          <c:cat>
            <c:strRef>
              <c:f>'Executive Summary'!$A$40:$A$63</c:f>
              <c:strCache>
                <c:ptCount val="0"/>
              </c:strCache>
            </c:strRef>
          </c:cat>
          <c:val>
            <c:numRef>
              <c:f>'Executive Summary'!$B$40:$B$63</c:f>
              <c:numCache>
                <c:formatCode>$#,##0;[Red]($#,##0);-</c:formatCode>
                <c:ptCount val="0"/>
              </c:numCache>
            </c:numRef>
          </c:val>
          <c:smooth val="0"/>
        </c:ser>
        <c:ser>
          <c:idx val="1"/>
          <c:order val="1"/>
          <c:tx>
            <c:v>Conservative</c:v>
          </c:tx>
          <c:spPr>
            <a:solidFill xmlns:a="http://schemas.openxmlformats.org/drawingml/2006/main">
              <a:srgbClr val="2563EB"/>
            </a:solidFill>
          </c:spPr>
          <c:marker>
            <c:symbol val="none"/>
          </c:marker>
          <c:cat>
            <c:strRef>
              <c:f>'Executive Summary'!$A$40:$A$63</c:f>
              <c:strCache>
                <c:ptCount val="0"/>
              </c:strCache>
            </c:strRef>
          </c:cat>
          <c:val>
            <c:numRef>
              <c:f>'Executive Summary'!$C$40:$C$63</c:f>
              <c:numCache>
                <c:formatCode>$#,##0;[Red]($#,##0);-</c:formatCode>
                <c:ptCount val="0"/>
              </c:numCache>
            </c:numRef>
          </c:val>
          <c:smooth val="0"/>
        </c:ser>
        <c:ser>
          <c:idx val="2"/>
          <c:order val="2"/>
          <c:tx>
            <c:v>Normal</c:v>
          </c:tx>
          <c:spPr>
            <a:solidFill xmlns:a="http://schemas.openxmlformats.org/drawingml/2006/main">
              <a:srgbClr val="0E7490"/>
            </a:solidFill>
          </c:spPr>
          <c:marker>
            <c:symbol val="none"/>
          </c:marker>
          <c:cat>
            <c:strRef>
              <c:f>'Executive Summary'!$A$40:$A$63</c:f>
              <c:strCache>
                <c:ptCount val="0"/>
              </c:strCache>
            </c:strRef>
          </c:cat>
          <c:val>
            <c:numRef>
              <c:f>'Executive Summary'!$D$40:$D$63</c:f>
              <c:numCache>
                <c:formatCode>$#,##0;[Red]($#,##0);-</c:formatCode>
                <c:ptCount val="0"/>
              </c:numCache>
            </c:numRef>
          </c:val>
          <c:smooth val="0"/>
        </c:ser>
        <c:ser>
          <c:idx val="3"/>
          <c:order val="3"/>
          <c:tx>
            <c:v>Aggressive</c:v>
          </c:tx>
          <c:spPr>
            <a:solidFill xmlns:a="http://schemas.openxmlformats.org/drawingml/2006/main">
              <a:srgbClr val="D97706"/>
            </a:solidFill>
          </c:spPr>
          <c:marker>
            <c:symbol val="none"/>
          </c:marker>
          <c:cat>
            <c:strRef>
              <c:f>'Executive Summary'!$A$40:$A$63</c:f>
              <c:strCache>
                <c:ptCount val="0"/>
              </c:strCache>
            </c:strRef>
          </c:cat>
          <c:val>
            <c:numRef>
              <c:f>'Executive Summary'!$E$40:$E$63</c:f>
              <c:numCache>
                <c:formatCode>$#,##0;[Red]($#,##0);-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17</xdr:row>
      <xdr:rowOff>0</xdr:rowOff>
    </xdr:from>
    <xdr:to>
      <xdr:col>9</xdr:col>
      <xdr:colOff>0</xdr:colOff>
      <xdr:row>35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2bb5f5ffe324b1c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User" id="{445BC769-05B0-4E8F-B2C7-AA42E4B0C3C6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5" dT="2026-08-22T00:07:47.287" personId="{445BC769-05B0-4E8F-B2C7-AA42E4B0C3C6}" id="{880A651E-3258-7688-EFB6-EB85AD40464B}">
    <xltc:text>Source: live Supabase shipped-order customer history as of 2026-08-21. August MTD active customers = 38; model uses 42 as a full-month estimate.</xltc:text>
  </xltc:threadedComment>
  <xltc:threadedComment ref="B6" dT="2026-08-22T00:07:47.287" personId="{445BC769-05B0-4E8F-B2C7-AA42E4B0C3C6}" id="{3D3AB9F9-93B6-C21F-CCBB-C5257CF93119}">
    <xltc:text>Source: live Supabase monthly logo retention. May-Jul 2026 observed: 84.0%, 71.4%, 77.8%.</xltc:text>
  </xltc:threadedComment>
  <xltc:threadedComment ref="B7" dT="2026-08-22T00:07:47.287" personId="{445BC769-05B0-4E8F-B2C7-AA42E4B0C3C6}" id="{B0E8B3E6-9C86-5D48-8405-95EA01F00394}">
    <xltc:text>Source: live Supabase first-order cohorts. New customers: May 13, Jun 9, Jul 9; pipeline as of 2026-08-21 includes 95 working, 132 follow-up, and 65 sample-requested leads.</xltc:text>
  </xltc:threadedComment>
  <xltc:threadedComment ref="B10" dT="2026-08-22T00:07:47.287" personId="{445BC769-05B0-4E8F-B2C7-AA42E4B0C3C6}" id="{FADE3E20-F3B0-8752-776D-D8041906F1F3}">
    <xltc:text>Source: live Supabase shipped standard-order subtotals and counts. May-Jul AOV: $205.44, $214.90, $230.54.</xltc:text>
  </xltc:threadedComment>
  <xltc:threadedComment ref="B12" dT="2026-08-22T00:07:47.287" personId="{445BC769-05B0-4E8F-B2C7-AA42E4B0C3C6}" id="{1EE494E1-0676-8EDF-A8B4-1693ECD94B6D}">
    <xltc:text>Source: live Supabase recurring_orders as of 2026-08-21. 15 active schedules; annualized monthly run rate = 4x biweekly, 2x every 3 weeks, 9x every 4 weeks.</xltc:text>
  </xltc:threadedComment>
  <xltc:threadedComment ref="B15" dT="2026-08-22T00:07:47.287" personId="{445BC769-05B0-4E8F-B2C7-AA42E4B0C3C6}" id="{BE864A57-2BC1-32D8-0E18-24F88E3BE5E2}">
    <xltc:text>Source bridge: QuickBooks all-sales export through 2026-08-05 ($64,673.49 ex-tax) plus portal shipped revenue from 2026-08-06 through 2026-08-21 ($8,936.40). Estimate is not an audited close.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1731106e6684fc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1.xml" Id="R59251b63d43c49da" /><Relationship Type="http://schemas.openxmlformats.org/officeDocument/2006/relationships/vmlDrawing" Target="/xl/drawings/vmldrawing.vml" Id="Rf1915f4003c24a15" /><Relationship Type="http://schemas.microsoft.com/office/2017/10/relationships/threadedComment" Target="/xl/threadedcomments/threadedcomment.xml" Id="R671c3c846ddc480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5" hidden="0" customWidth="1"/>
    <x:col min="3" max="3" width="15" hidden="0" customWidth="1"/>
    <x:col min="4" max="4" width="14" hidden="0" customWidth="1"/>
    <x:col min="5" max="5" width="14" hidden="0" customWidth="1"/>
    <x:col min="6" max="6" width="25" hidden="0" customWidth="1"/>
    <x:col min="7" max="7" width="6" hidden="0" customWidth="1"/>
    <x:col min="8" max="8" width="20" hidden="0" customWidth="1"/>
    <x:col min="9" max="9" width="15" hidden="0" customWidth="1"/>
    <x:col min="10" max="10" width="15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</x:cols>
  <x:sheetData>
    <x:row r="1" ht="30" customHeight="1">
      <x:c r="A1" s="3" t="str">
        <x:v>SoBrew Sales Growth &amp; Forecast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28" customHeight="1">
      <x:c r="A2" s="7" t="str">
        <x:v>Executive view | USD, excluding sales tax | Actuals through Aug 21, 2026 | Primary forecast: Sep 2026-Aug 2027 | Confidence: low-to-moderate due limited history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</x:row>
    <x:row r="3">
      <x:c r="A3" s="128" t="str">
        <x:v>Revenue means completed standard wholesale shipments. Prospecting samples, tax, and shipping cost are excluded. Archived shipped orders remain in history.</x:v>
      </x:c>
      <x:c r="B3" s="128"/>
      <x:c r="C3" s="128"/>
      <x:c r="D3" s="128"/>
      <x:c r="E3" s="128"/>
      <x:c r="F3" s="128"/>
      <x:c r="G3" s="128"/>
      <x:c r="H3" s="128"/>
      <x:c r="I3" s="128"/>
      <x:c r="J3" s="128"/>
      <x:c r="K3" s="128"/>
      <x:c r="L3" s="128"/>
      <x:c r="M3" s="128"/>
      <x:c r="N3" s="128"/>
      <x:c r="O3" s="128"/>
    </x:row>
    <x:row r="5" ht="23" customHeight="1">
      <x:c r="A5" s="129" t="str">
        <x:v>Portal shipments tracked</x:v>
      </x:c>
      <x:c r="B5" s="129"/>
      <x:c r="C5" s="129"/>
      <x:c r="E5" s="129" t="str">
        <x:v>July shipped revenue</x:v>
      </x:c>
      <x:c r="F5" s="129"/>
      <x:c r="G5" s="129"/>
      <x:c r="I5" s="129" t="str">
        <x:v>Estimated company YTD</x:v>
      </x:c>
      <x:c r="J5" s="129"/>
      <x:c r="K5" s="129"/>
      <x:c r="M5" s="129" t="str">
        <x:v>Normal next 12 months</x:v>
      </x:c>
      <x:c r="N5" s="129"/>
      <x:c r="O5" s="129"/>
    </x:row>
    <x:row r="6" ht="23" customHeight="1">
      <x:c r="A6" s="149" t="n">
        <x:f>SUM('Historical Actuals'!D5:D12)</x:f>
        <x:v>58222.88</x:v>
      </x:c>
      <x:c r="B6" s="150"/>
      <x:c r="C6" s="151"/>
      <x:c r="E6" s="175" t="n">
        <x:f>'Historical Actuals'!D11</x:f>
        <x:v>15215.59</x:v>
      </x:c>
      <x:c r="F6" s="176"/>
      <x:c r="G6" s="177"/>
      <x:c r="I6" s="201" t="n">
        <x:f>'Assumptions'!C15</x:f>
        <x:v>73609.89</x:v>
      </x:c>
      <x:c r="J6" s="202"/>
      <x:c r="K6" s="203"/>
      <x:c r="M6" s="226" t="n">
        <x:f>SUM('Forecast Model'!M5:M16)</x:f>
        <x:v>210306.00637453108</x:v>
      </x:c>
      <x:c r="N6" s="227"/>
      <x:c r="O6" s="228"/>
    </x:row>
    <x:row r="7" ht="23" customHeight="1">
      <x:c r="A7" s="152"/>
      <x:c r="B7" s="153"/>
      <x:c r="C7" s="154"/>
      <x:c r="E7" s="178"/>
      <x:c r="F7" s="179"/>
      <x:c r="G7" s="180"/>
      <x:c r="I7" s="204"/>
      <x:c r="J7" s="205"/>
      <x:c r="K7" s="206"/>
      <x:c r="M7" s="229"/>
      <x:c r="N7" s="230"/>
      <x:c r="O7" s="231"/>
    </x:row>
    <x:row r="10">
      <x:c r="A10" s="18" t="str">
        <x:v>Scenario</x:v>
      </x:c>
      <x:c r="B10" s="19" t="str">
        <x:v>Next 12 months</x:v>
      </x:c>
      <x:c r="C10" s="19" t="str">
        <x:v>CY2026</x:v>
      </x:c>
      <x:c r="D10" s="19" t="str">
        <x:v>CY2027</x:v>
      </x:c>
      <x:c r="E10" s="19" t="str">
        <x:v>2027 growth</x:v>
      </x:c>
      <x:c r="F10" s="20" t="str">
        <x:v>Operating interpretation</x:v>
      </x:c>
      <x:c r="H10" s="51" t="str">
        <x:v>Forecast range and decision frame</x:v>
      </x:c>
      <x:c r="I10" s="51"/>
      <x:c r="J10" s="51"/>
      <x:c r="K10" s="51"/>
      <x:c r="L10" s="51"/>
      <x:c r="M10" s="51"/>
      <x:c r="N10" s="51"/>
      <x:c r="O10" s="51"/>
    </x:row>
    <x:row r="11" ht="30" customHeight="1">
      <x:c r="A11" s="232" t="str">
        <x:v>Conservative</x:v>
      </x:c>
      <x:c r="B11" s="82" t="n">
        <x:f>SUM('Forecast Model'!L5:L16)</x:f>
        <x:v>154369.89744568616</x:v>
      </x:c>
      <x:c r="C11" s="82" t="n">
        <x:f>'Assumptions'!B15+'Assumptions'!B16+SUM('Forecast Model'!L5:L8)</x:f>
        <x:v>131310.62804384265</x:v>
      </x:c>
      <x:c r="D11" s="82" t="n">
        <x:f>SUM('Forecast Model'!L9:L20)</x:f>
        <x:v>151084.0057340645</x:v>
      </x:c>
      <x:c r="E11" s="233" t="n">
        <x:f>D11/C11-1</x:f>
        <x:v>0.15058474690730916</x:v>
      </x:c>
      <x:c r="F11" s="234" t="str">
        <x:v>Attrition outpaces acquisition; AOV is flat.</x:v>
      </x:c>
      <x:c r="H11" s="244" t="str">
        <x:v>80% statistical range</x:v>
      </x:c>
      <x:c r="I11" s="247" t="str">
        <x:f>"$177,168 to $249,131"</x:f>
        <x:v>$177,168 to $249,131</x:v>
      </x:c>
      <x:c r="J11" s="241"/>
      <x:c r="K11" s="252" t="str">
        <x:v>The normal case is the planning forecast. Conservative is a downside operating case; aggressive is a stretch plan above the modeled 95% statistical range and needs sustained pipeline conversion plus strong retention.</x:v>
      </x:c>
      <x:c r="L11" s="252"/>
      <x:c r="M11" s="252"/>
      <x:c r="N11" s="252"/>
      <x:c r="O11" s="252"/>
    </x:row>
    <x:row r="12" ht="30" customHeight="1">
      <x:c r="A12" s="235" t="str">
        <x:v>Normal</x:v>
      </x:c>
      <x:c r="B12" s="86" t="n">
        <x:f>SUM('Forecast Model'!M5:M16)</x:f>
        <x:v>210306.00637453108</x:v>
      </x:c>
      <x:c r="C12" s="86" t="n">
        <x:f>'Assumptions'!C15+'Assumptions'!C16+SUM('Forecast Model'!M5:M8)</x:f>
        <x:v>147821.1925283476</x:v>
      </x:c>
      <x:c r="D12" s="86" t="n">
        <x:f>SUM('Forecast Model'!M9:M20)</x:f>
        <x:v>213060.49941750965</x:v>
      </x:c>
      <x:c r="E12" s="236" t="n">
        <x:f>D12/C12-1</x:f>
        <x:v>0.44133933553980187</x:v>
      </x:c>
      <x:c r="F12" s="237" t="str">
        <x:v>Recent retention, acquisition, frequency, and AOV broadly hold.</x:v>
      </x:c>
      <x:c r="H12" s="245" t="str">
        <x:v>95% statistical range</x:v>
      </x:c>
      <x:c r="I12" s="248" t="str">
        <x:f>"$162,621 to $270,707"</x:f>
        <x:v>$162,621 to $270,707</x:v>
      </x:c>
      <x:c r="J12" s="242"/>
      <x:c r="K12" s="252"/>
      <x:c r="L12" s="252"/>
      <x:c r="M12" s="252"/>
      <x:c r="N12" s="252"/>
      <x:c r="O12" s="252"/>
    </x:row>
    <x:row r="13" ht="30" customHeight="1">
      <x:c r="A13" s="238" t="str">
        <x:v>Aggressive</x:v>
      </x:c>
      <x:c r="B13" s="90" t="n">
        <x:f>SUM('Forecast Model'!N5:N16)</x:f>
        <x:v>299102.5588860108</x:v>
      </x:c>
      <x:c r="C13" s="90" t="n">
        <x:f>'Assumptions'!D15+'Assumptions'!D16+SUM('Forecast Model'!N5:N8)</x:f>
        <x:v>169754.9998056672</x:v>
      </x:c>
      <x:c r="D13" s="90" t="n">
        <x:f>SUM('Forecast Model'!N9:N20)</x:f>
        <x:v>321131.17367672955</x:v>
      </x:c>
      <x:c r="E13" s="239" t="n">
        <x:f>D13/C13-1</x:f>
        <x:v>0.8917332275594554</x:v>
      </x:c>
      <x:c r="F13" s="240" t="str">
        <x:v>Upper observed drivers persist and pipeline converts materially.</x:v>
      </x:c>
      <x:c r="H13" s="245" t="str">
        <x:v>Normal vs recent annualized run rate</x:v>
      </x:c>
      <x:c r="I13" s="249" t="n">
        <x:f>B12/(AVERAGE('Historical Actuals'!D11,'Historical Actuals'!D12+'Assumptions'!C16)*12)-1</x:f>
        <x:v>0.10643819574654279</x:v>
      </x:c>
      <x:c r="J13" s="242"/>
      <x:c r="K13" s="252"/>
      <x:c r="L13" s="252"/>
      <x:c r="M13" s="252"/>
      <x:c r="N13" s="252"/>
      <x:c r="O13" s="252"/>
    </x:row>
    <x:row r="14" ht="30" customHeight="1">
      <x:c r="H14" s="246" t="str">
        <x:v>Forecast confidence</x:v>
      </x:c>
      <x:c r="I14" s="251" t="str">
        <x:v>LOW-MODERATE</x:v>
      </x:c>
      <x:c r="J14" s="243"/>
      <x:c r="K14" s="252"/>
      <x:c r="L14" s="252"/>
      <x:c r="M14" s="252"/>
      <x:c r="N14" s="252"/>
      <x:c r="O14" s="252"/>
    </x:row>
    <x:row r="18">
      <x:c r="K18" s="51" t="str">
        <x:v>What I see</x:v>
      </x:c>
      <x:c r="L18" s="51"/>
      <x:c r="M18" s="51"/>
      <x:c r="N18" s="51"/>
      <x:c r="O18" s="51"/>
    </x:row>
    <x:row r="19" ht="22" customHeight="1">
      <x:c r="K19" s="257" t="str">
        <x:v>1. Real acceleration: cash receipts rose from $4.9K in January to $15.5K in July (+216%); shipped revenue rose from $5.7K in April to $15.2K in July (+167%).</x:v>
      </x:c>
      <x:c r="L19" s="257"/>
      <x:c r="M19" s="257"/>
      <x:c r="N19" s="257"/>
      <x:c r="O19" s="257"/>
    </x:row>
    <x:row r="20" ht="22" customHeight="1">
      <x:c r="K20" s="257"/>
      <x:c r="L20" s="257"/>
      <x:c r="M20" s="257"/>
      <x:c r="N20" s="257"/>
      <x:c r="O20" s="257"/>
    </x:row>
    <x:row r="21" ht="22" customHeight="1">
      <x:c r="K21" s="258"/>
      <x:c r="L21" s="258"/>
      <x:c r="M21" s="258"/>
      <x:c r="N21" s="258"/>
      <x:c r="O21" s="258"/>
    </x:row>
    <x:row r="22" ht="22" customHeight="1">
      <x:c r="K22" s="263" t="str">
        <x:v>2. The engine matured: May-July AOV climbed from $205 to $231 while the monthly customer count stabilized at 35-38. Growth is now more about repeat volume and ticket size than raw launch acquisition.</x:v>
      </x:c>
      <x:c r="L22" s="263"/>
      <x:c r="M22" s="263"/>
      <x:c r="N22" s="263"/>
      <x:c r="O22" s="263"/>
    </x:row>
    <x:row r="23" ht="22" customHeight="1">
      <x:c r="K23" s="263"/>
      <x:c r="L23" s="263"/>
      <x:c r="M23" s="263"/>
      <x:c r="N23" s="263"/>
      <x:c r="O23" s="263"/>
    </x:row>
    <x:row r="24" ht="22" customHeight="1">
      <x:c r="K24" s="264"/>
      <x:c r="L24" s="264"/>
      <x:c r="M24" s="264"/>
      <x:c r="N24" s="264"/>
      <x:c r="O24" s="264"/>
    </x:row>
    <x:row r="25" ht="22" customHeight="1">
      <x:c r="K25" s="257" t="str">
        <x:v>3. Recurring base: 15 active schedules imply about $5.0K per month, roughly 30% of the current normal run rate.</x:v>
      </x:c>
      <x:c r="L25" s="257"/>
      <x:c r="M25" s="257"/>
      <x:c r="N25" s="257"/>
      <x:c r="O25" s="257"/>
    </x:row>
    <x:row r="26" ht="22" customHeight="1">
      <x:c r="K26" s="257"/>
      <x:c r="L26" s="257"/>
      <x:c r="M26" s="257"/>
      <x:c r="N26" s="257"/>
      <x:c r="O26" s="257"/>
    </x:row>
    <x:row r="27" ht="22" customHeight="1">
      <x:c r="K27" s="258"/>
      <x:c r="L27" s="258"/>
      <x:c r="M27" s="258"/>
      <x:c r="N27" s="258"/>
      <x:c r="O27" s="258"/>
    </x:row>
    <x:row r="28" ht="22" customHeight="1">
      <x:c r="K28" s="263" t="str">
        <x:v>4. Customer risk is manageable: the top customer is about 10% of monthly sales; QuickBooks top 5 are 31% of YTD sales. Repeat customers are 76% of the portal base, with a 16-day median reorder interval.</x:v>
      </x:c>
      <x:c r="L28" s="263"/>
      <x:c r="M28" s="263"/>
      <x:c r="N28" s="263"/>
      <x:c r="O28" s="263"/>
    </x:row>
    <x:row r="29" ht="22" customHeight="1">
      <x:c r="K29" s="263"/>
      <x:c r="L29" s="263"/>
      <x:c r="M29" s="263"/>
      <x:c r="N29" s="263"/>
      <x:c r="O29" s="263"/>
    </x:row>
    <x:row r="30" ht="22" customHeight="1">
      <x:c r="K30" s="264"/>
      <x:c r="L30" s="264"/>
      <x:c r="M30" s="264"/>
      <x:c r="N30" s="264"/>
      <x:c r="O30" s="264"/>
    </x:row>
    <x:row r="31" ht="22" customHeight="1">
      <x:c r="K31" s="257" t="str">
        <x:v>5. Watch margin and data comparability: reported gross margin fell near 24-25% in July/August, but estimated-COGS coverage also changed sharply. Treat the direction as a warning, not a clean apples-to-apples trend.</x:v>
      </x:c>
      <x:c r="L31" s="257"/>
      <x:c r="M31" s="257"/>
      <x:c r="N31" s="257"/>
      <x:c r="O31" s="257"/>
    </x:row>
    <x:row r="32" ht="22" customHeight="1">
      <x:c r="K32" s="257"/>
      <x:c r="L32" s="257"/>
      <x:c r="M32" s="257"/>
      <x:c r="N32" s="257"/>
      <x:c r="O32" s="257"/>
    </x:row>
    <x:row r="33" ht="22" customHeight="1">
      <x:c r="K33" s="258"/>
      <x:c r="L33" s="258"/>
      <x:c r="M33" s="258"/>
      <x:c r="N33" s="258"/>
      <x:c r="O33" s="258"/>
    </x:row>
    <x:row r="39">
      <x:c r="A39" s="266" t="str">
        <x:v>Month</x:v>
      </x:c>
      <x:c r="B39" s="267" t="str">
        <x:v>Shipped actual</x:v>
      </x:c>
      <x:c r="C39" s="267" t="str">
        <x:v>Conservative</x:v>
      </x:c>
      <x:c r="D39" s="267" t="str">
        <x:v>Normal</x:v>
      </x:c>
      <x:c r="E39" s="267" t="str">
        <x:v>Aggressive</x:v>
      </x:c>
    </x:row>
    <x:row r="40">
      <x:c r="A40" s="268" t="str">
        <x:v>Jan 2026</x:v>
      </x:c>
      <x:c r="B40" s="28" t="n">
        <x:f>'Historical Actuals'!D5</x:f>
        <x:v>0</x:v>
      </x:c>
      <x:c r="C40" s="28"/>
      <x:c r="D40" s="28"/>
      <x:c r="E40" s="28"/>
    </x:row>
    <x:row r="41">
      <x:c r="A41" s="268" t="str">
        <x:v>Feb 2026</x:v>
      </x:c>
      <x:c r="B41" s="28" t="n">
        <x:f>'Historical Actuals'!D6</x:f>
        <x:v>350</x:v>
      </x:c>
      <x:c r="C41" s="28"/>
      <x:c r="D41" s="28"/>
      <x:c r="E41" s="28"/>
    </x:row>
    <x:row r="42">
      <x:c r="A42" s="268" t="str">
        <x:v>Mar 2026</x:v>
      </x:c>
      <x:c r="B42" s="28" t="n">
        <x:f>'Historical Actuals'!D7</x:f>
        <x:v>2095</x:v>
      </x:c>
      <x:c r="C42" s="28"/>
      <x:c r="D42" s="28"/>
      <x:c r="E42" s="28"/>
    </x:row>
    <x:row r="43">
      <x:c r="A43" s="268" t="str">
        <x:v>Apr 2026</x:v>
      </x:c>
      <x:c r="B43" s="28" t="n">
        <x:f>'Historical Actuals'!D8</x:f>
        <x:v>5692.01</x:v>
      </x:c>
      <x:c r="C43" s="28"/>
      <x:c r="D43" s="28"/>
      <x:c r="E43" s="28"/>
    </x:row>
    <x:row r="44">
      <x:c r="A44" s="268" t="str">
        <x:v>May 2026</x:v>
      </x:c>
      <x:c r="B44" s="28" t="n">
        <x:f>'Historical Actuals'!D9</x:f>
        <x:v>11710.09</x:v>
      </x:c>
      <x:c r="C44" s="28"/>
      <x:c r="D44" s="28"/>
      <x:c r="E44" s="28"/>
    </x:row>
    <x:row r="45">
      <x:c r="A45" s="268" t="str">
        <x:v>Jun 2026</x:v>
      </x:c>
      <x:c r="B45" s="28" t="n">
        <x:f>'Historical Actuals'!D10</x:f>
        <x:v>11604.79</x:v>
      </x:c>
      <x:c r="C45" s="28"/>
      <x:c r="D45" s="28"/>
      <x:c r="E45" s="28"/>
    </x:row>
    <x:row r="46">
      <x:c r="A46" s="268" t="str">
        <x:v>Jul 2026</x:v>
      </x:c>
      <x:c r="B46" s="28" t="n">
        <x:f>'Historical Actuals'!D11</x:f>
        <x:v>15215.59</x:v>
      </x:c>
      <x:c r="C46" s="28"/>
      <x:c r="D46" s="28"/>
      <x:c r="E46" s="28"/>
    </x:row>
    <x:row r="47">
      <x:c r="A47" s="268" t="str">
        <x:v>Aug 2026</x:v>
      </x:c>
      <x:c r="B47" s="28" t="n">
        <x:f>'Historical Actuals'!D12</x:f>
        <x:v>11555.4</x:v>
      </x:c>
      <x:c r="C47" s="28" t="n">
        <x:f>'Historical Actuals'!D12+'Assumptions'!B16</x:f>
        <x:v>15549.029348455959</x:v>
      </x:c>
      <x:c r="D47" s="28" t="n">
        <x:f>'Historical Actuals'!D12+'Assumptions'!C16</x:f>
        <x:v>16463.54146632833</x:v>
      </x:c>
      <x:c r="E47" s="28" t="n">
        <x:f>'Historical Actuals'!D12+'Assumptions'!D16</x:f>
        <x:v>17559.645423833805</x:v>
      </x:c>
    </x:row>
    <x:row r="48">
      <x:c r="A48" s="268" t="str">
        <x:v>Sep 2026</x:v>
      </x:c>
      <x:c r="B48" s="28"/>
      <x:c r="C48" s="28" t="n">
        <x:f>'Forecast Model'!L5</x:f>
        <x:v>13887.095386052852</x:v>
      </x:c>
      <x:c r="D48" s="28" t="n">
        <x:f>'Forecast Model'!M5</x:f>
        <x:v>17075.293705728804</x:v>
      </x:c>
      <x:c r="E48" s="28" t="n">
        <x:f>'Forecast Model'!N5</x:f>
        <x:v>20993.069088891512</x:v>
      </x:c>
    </x:row>
    <x:row r="49">
      <x:c r="A49" s="268" t="str">
        <x:v>Oct 2026</x:v>
      </x:c>
      <x:c r="B49" s="28"/>
      <x:c r="C49" s="28" t="n">
        <x:f>'Forecast Model'!L6</x:f>
        <x:v>13447.106897797534</x:v>
      </x:c>
      <x:c r="D49" s="28" t="n">
        <x:f>'Forecast Model'!M6</x:f>
        <x:v>17220.95470220928</x:v>
      </x:c>
      <x:c r="E49" s="28" t="n">
        <x:f>'Forecast Model'!N6</x:f>
        <x:v>22101.468756664293</x:v>
      </x:c>
    </x:row>
    <x:row r="50">
      <x:c r="A50" s="268" t="str">
        <x:v>Nov 2026</x:v>
      </x:c>
      <x:c r="B50" s="28"/>
      <x:c r="C50" s="28" t="n">
        <x:f>'Forecast Model'!L7</x:f>
        <x:v>12830.938074318416</x:v>
      </x:c>
      <x:c r="D50" s="28" t="n">
        <x:f>'Forecast Model'!M7</x:f>
        <x:v>16989.049170629212</x:v>
      </x:c>
      <x:c r="E50" s="28" t="n">
        <x:f>'Forecast Model'!N7</x:f>
        <x:v>22582.814123057033</x:v>
      </x:c>
    </x:row>
    <x:row r="51">
      <x:c r="A51" s="268" t="str">
        <x:v>Dec 2026</x:v>
      </x:c>
      <x:c r="B51" s="28"/>
      <x:c r="C51" s="28" t="n">
        <x:f>'Forecast Model'!L8</x:f>
        <x:v>13541.968337217888</x:v>
      </x:c>
      <x:c r="D51" s="28" t="n">
        <x:f>'Forecast Model'!M8</x:f>
        <x:v>18017.863483451994</x:v>
      </x:c>
      <x:c r="E51" s="28" t="n">
        <x:f>'Forecast Model'!N8</x:f>
        <x:v>24463.51241322054</x:v>
      </x:c>
    </x:row>
    <x:row r="52">
      <x:c r="A52" s="268" t="str">
        <x:v>Jan 2027</x:v>
      </x:c>
      <x:c r="B52" s="28"/>
      <x:c r="C52" s="28" t="n">
        <x:f>'Forecast Model'!L9</x:f>
        <x:v>12518.191367888869</x:v>
      </x:c>
      <x:c r="D52" s="28" t="n">
        <x:f>'Forecast Model'!M9</x:f>
        <x:v>17175.28306095072</x:v>
      </x:c>
      <x:c r="E52" s="28" t="n">
        <x:f>'Forecast Model'!N9</x:f>
        <x:v>24197.564295022</x:v>
      </x:c>
    </x:row>
    <x:row r="53">
      <x:c r="A53" s="268" t="str">
        <x:v>Feb 2027</x:v>
      </x:c>
      <x:c r="B53" s="28"/>
      <x:c r="C53" s="28" t="n">
        <x:f>'Forecast Model'!L10</x:f>
        <x:v>11964.93428812331</x:v>
      </x:c>
      <x:c r="D53" s="28" t="n">
        <x:f>'Forecast Model'!M10</x:f>
        <x:v>16700.93232416068</x:v>
      </x:c>
      <x:c r="E53" s="28" t="n">
        <x:f>'Forecast Model'!N10</x:f>
        <x:v>24268.095938998275</x:v>
      </x:c>
    </x:row>
    <x:row r="54">
      <x:c r="A54" s="268" t="str">
        <x:v>Mar 2027</x:v>
      </x:c>
      <x:c r="B54" s="28"/>
      <x:c r="C54" s="28" t="n">
        <x:f>'Forecast Model'!L11</x:f>
        <x:v>13139.41081124519</x:v>
      </x:c>
      <x:c r="D54" s="28" t="n">
        <x:f>'Forecast Model'!M11</x:f>
        <x:v>18147.86918796222</x:v>
      </x:c>
      <x:c r="E54" s="28" t="n">
        <x:f>'Forecast Model'!N11</x:f>
        <x:v>26253.42488984047</x:v>
      </x:c>
    </x:row>
    <x:row r="55">
      <x:c r="A55" s="268" t="str">
        <x:v>Apr 2027</x:v>
      </x:c>
      <x:c r="B55" s="28"/>
      <x:c r="C55" s="28" t="n">
        <x:f>'Forecast Model'!L12</x:f>
        <x:v>12742.578696696979</x:v>
      </x:c>
      <x:c r="D55" s="28" t="n">
        <x:f>'Forecast Model'!M12</x:f>
        <x:v>17852.466395796968</x:v>
      </x:c>
      <x:c r="E55" s="28" t="n">
        <x:f>'Forecast Model'!N12</x:f>
        <x:v>26238.61939499162</x:v>
      </x:c>
    </x:row>
    <x:row r="56">
      <x:c r="A56" s="268" t="str">
        <x:v>May 2027</x:v>
      </x:c>
      <x:c r="B56" s="28"/>
      <x:c r="C56" s="28" t="n">
        <x:f>'Forecast Model'!L13</x:f>
        <x:v>12318.25750727041</x:v>
      </x:c>
      <x:c r="D56" s="28" t="n">
        <x:f>'Forecast Model'!M13</x:f>
        <x:v>17437.03560546912</x:v>
      </x:c>
      <x:c r="E56" s="28" t="n">
        <x:f>'Forecast Model'!N13</x:f>
        <x:v>26145.74072733018</x:v>
      </x:c>
    </x:row>
    <x:row r="57">
      <x:c r="A57" s="268" t="str">
        <x:v>Jun 2027</x:v>
      </x:c>
      <x:c r="B57" s="28"/>
      <x:c r="C57" s="28" t="n">
        <x:f>'Forecast Model'!L14</x:f>
        <x:v>12738.046638176038</x:v>
      </x:c>
      <x:c r="D57" s="28" t="n">
        <x:f>'Forecast Model'!M14</x:f>
        <x:v>17868.46917645165</x:v>
      </x:c>
      <x:c r="E57" s="28" t="n">
        <x:f>'Forecast Model'!N14</x:f>
        <x:v>26986.138494968603</x:v>
      </x:c>
    </x:row>
    <x:row r="58">
      <x:c r="A58" s="268" t="str">
        <x:v>Jul 2027</x:v>
      </x:c>
      <x:c r="B58" s="28"/>
      <x:c r="C58" s="28" t="n">
        <x:f>'Forecast Model'!L15</x:f>
        <x:v>12629.983830083911</x:v>
      </x:c>
      <x:c r="D58" s="28" t="n">
        <x:f>'Forecast Model'!M15</x:f>
        <x:v>17893.206479177494</x:v>
      </x:c>
      <x:c r="E58" s="28" t="n">
        <x:f>'Forecast Model'!N15</x:f>
        <x:v>27279.676513509854</x:v>
      </x:c>
    </x:row>
    <x:row r="59">
      <x:c r="A59" s="268" t="str">
        <x:v>Aug 2027</x:v>
      </x:c>
      <x:c r="B59" s="28"/>
      <x:c r="C59" s="28" t="n">
        <x:f>'Forecast Model'!L16</x:f>
        <x:v>12611.385610814788</x:v>
      </x:c>
      <x:c r="D59" s="28" t="n">
        <x:f>'Forecast Model'!M16</x:f>
        <x:v>17927.583082542948</x:v>
      </x:c>
      <x:c r="E59" s="28" t="n">
        <x:f>'Forecast Model'!N16</x:f>
        <x:v>27592.434249516326</x:v>
      </x:c>
    </x:row>
    <x:row r="60">
      <x:c r="A60" s="268" t="str">
        <x:v>Sep 2027</x:v>
      </x:c>
      <x:c r="B60" s="28"/>
      <x:c r="C60" s="28" t="n">
        <x:f>'Forecast Model'!L17</x:f>
        <x:v>12612.573762035803</x:v>
      </x:c>
      <x:c r="D60" s="28" t="n">
        <x:f>'Forecast Model'!M17</x:f>
        <x:v>17947.418424838674</x:v>
      </x:c>
      <x:c r="E60" s="28" t="n">
        <x:f>'Forecast Model'!N17</x:f>
        <x:v>27697.377509346807</x:v>
      </x:c>
    </x:row>
    <x:row r="61">
      <x:c r="A61" s="268" t="str">
        <x:v>Oct 2027</x:v>
      </x:c>
      <x:c r="B61" s="28"/>
      <x:c r="C61" s="28" t="n">
        <x:f>'Forecast Model'!L18</x:f>
        <x:v>12184.901261018285</x:v>
      </x:c>
      <x:c r="D61" s="28" t="n">
        <x:f>'Forecast Model'!M18</x:f>
        <x:v>17513.02334762455</x:v>
      </x:c>
      <x:c r="E61" s="28" t="n">
        <x:f>'Forecast Model'!N18</x:f>
        <x:v>27378.134730103327</x:v>
      </x:c>
    </x:row>
    <x:row r="62">
      <x:c r="A62" s="268" t="str">
        <x:v>Nov 2027</x:v>
      </x:c>
      <x:c r="B62" s="28"/>
      <x:c r="C62" s="28" t="n">
        <x:f>'Forecast Model'!L19</x:f>
        <x:v>12611.466611632848</x:v>
      </x:c>
      <x:c r="D62" s="28" t="n">
        <x:f>'Forecast Model'!M19</x:f>
        <x:v>18056.931434826463</x:v>
      </x:c>
      <x:c r="E62" s="28" t="n">
        <x:f>'Forecast Model'!N19</x:f>
        <x:v>28167.81337069232</x:v>
      </x:c>
    </x:row>
    <x:row r="63">
      <x:c r="A63" s="269" t="str">
        <x:v>Dec 2027</x:v>
      </x:c>
      <x:c r="B63" s="270"/>
      <x:c r="C63" s="270" t="n">
        <x:f>'Forecast Model'!L20</x:f>
        <x:v>13012.275349078078</x:v>
      </x:c>
      <x:c r="D63" s="270" t="n">
        <x:f>'Forecast Model'!M20</x:f>
        <x:v>18540.280897708162</x:v>
      </x:c>
      <x:c r="E63" s="270" t="n">
        <x:f>'Forecast Model'!N20</x:f>
        <x:v>28926.153562409778</x:v>
      </x:c>
    </x:row>
  </x:sheetData>
  <x:mergeCells>
    <x:mergeCell ref="A1:O1"/>
    <x:mergeCell ref="A2:O2"/>
    <x:mergeCell ref="A3:O3"/>
    <x:mergeCell ref="A5:C5"/>
    <x:mergeCell ref="A6:C7"/>
    <x:mergeCell ref="E5:G5"/>
    <x:mergeCell ref="E6:G7"/>
    <x:mergeCell ref="I5:K5"/>
    <x:mergeCell ref="I6:K7"/>
    <x:mergeCell ref="M5:O5"/>
    <x:mergeCell ref="M6:O7"/>
    <x:mergeCell ref="H10:O10"/>
    <x:mergeCell ref="I11:J11"/>
    <x:mergeCell ref="I12:J12"/>
    <x:mergeCell ref="I13:J13"/>
    <x:mergeCell ref="I14:J14"/>
    <x:mergeCell ref="K11:O14"/>
    <x:mergeCell ref="K18:O18"/>
    <x:mergeCell ref="K19:O21"/>
    <x:mergeCell ref="K22:O24"/>
    <x:mergeCell ref="K25:O27"/>
    <x:mergeCell ref="K28:O30"/>
    <x:mergeCell ref="K31:O33"/>
  </x:mergeCells>
  <x:pageMargins left="0.7" right="0.7" top="0.75" bottom="0.75" header="0.3" footer="0.3"/>
  <x:drawing xmlns:r="http://schemas.openxmlformats.org/officeDocument/2006/relationships" r:id="R41731106e6684fc4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7" hidden="0" customWidth="1"/>
    <x:col min="3" max="3" width="17" hidden="0" customWidth="1"/>
    <x:col min="4" max="4" width="18" hidden="0" customWidth="1"/>
    <x:col min="5" max="5" width="14" hidden="0" customWidth="1"/>
    <x:col min="6" max="6" width="15" hidden="0" customWidth="1"/>
    <x:col min="7" max="7" width="13" hidden="0" customWidth="1"/>
    <x:col min="8" max="8" width="17" hidden="0" customWidth="1"/>
    <x:col min="9" max="9" width="18" hidden="0" customWidth="1"/>
    <x:col min="10" max="10" width="16" hidden="0" customWidth="1"/>
    <x:col min="11" max="11" width="18" hidden="0" customWidth="1"/>
    <x:col min="12" max="12" width="14" hidden="0" customWidth="1"/>
    <x:col min="13" max="13" width="20" hidden="0" customWidth="1"/>
    <x:col min="14" max="14" width="12" hidden="0" customWidth="1"/>
    <x:col min="15" max="15" width="13" hidden="0" customWidth="1"/>
  </x:cols>
  <x:sheetData>
    <x:row r="1" ht="30" customHeight="1">
      <x:c r="A1" s="3" t="str">
        <x:v>Historical Sales &amp; Operating Drivers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28" customHeight="1">
      <x:c r="A2" s="7" t="str">
        <x:v>Primary revenue basis: standard orders with status Shipped; recognized on shipped_at (created_at fallback), America/Chicago. August is MTD through Aug 21, 2026.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</x:row>
    <x:row r="4">
      <x:c r="A4" s="18" t="str">
        <x:v>Month</x:v>
      </x:c>
      <x:c r="B4" s="19" t="str">
        <x:v>Period</x:v>
      </x:c>
      <x:c r="C4" s="19" t="str">
        <x:v>Cash sales receipts</x:v>
      </x:c>
      <x:c r="D4" s="19" t="str">
        <x:v>Portal shipped revenue</x:v>
      </x:c>
      <x:c r="E4" s="19" t="str">
        <x:v>Shipped orders</x:v>
      </x:c>
      <x:c r="F4" s="19" t="str">
        <x:v>Active customers</x:v>
      </x:c>
      <x:c r="G4" s="19" t="str">
        <x:v>New customers</x:v>
      </x:c>
      <x:c r="H4" s="19" t="str">
        <x:v>Average order value</x:v>
      </x:c>
      <x:c r="I4" s="19" t="str">
        <x:v>Orders / active customer</x:v>
      </x:c>
      <x:c r="J4" s="19" t="str">
        <x:v>Recurring revenue</x:v>
      </x:c>
      <x:c r="K4" s="19" t="str">
        <x:v>Top 5 customer share</x:v>
      </x:c>
      <x:c r="L4" s="19" t="str">
        <x:v>Gross margin</x:v>
      </x:c>
      <x:c r="M4" s="19" t="str">
        <x:v>Orders using estimated COGS</x:v>
      </x:c>
      <x:c r="N4" s="19" t="str">
        <x:v>Cash MoM</x:v>
      </x:c>
      <x:c r="O4" s="20" t="str">
        <x:v>Shipment MoM</x:v>
      </x:c>
    </x:row>
    <x:row r="5">
      <x:c r="A5" s="24" t="n">
        <x:v>46023</x:v>
      </x:c>
      <x:c r="B5" s="21" t="str">
        <x:v>Full month</x:v>
      </x:c>
      <x:c r="C5" s="27" t="n">
        <x:v>4898.48</x:v>
      </x:c>
      <x:c r="D5" s="27"/>
      <x:c r="E5" s="30"/>
      <x:c r="F5" s="30"/>
      <x:c r="G5" s="30"/>
      <x:c r="H5" s="33"/>
      <x:c r="I5" s="36"/>
      <x:c r="J5" s="39"/>
      <x:c r="K5" s="39"/>
      <x:c r="L5" s="39"/>
      <x:c r="M5" s="39"/>
      <x:c r="N5" s="39" t="str">
        <x:f>""</x:f>
      </x:c>
      <x:c r="O5" s="39" t="str">
        <x:f>""</x:f>
      </x:c>
    </x:row>
    <x:row r="6">
      <x:c r="A6" s="25" t="n">
        <x:v>46054</x:v>
      </x:c>
      <x:c r="B6" s="22" t="str">
        <x:v>Full month</x:v>
      </x:c>
      <x:c r="C6" s="28" t="n">
        <x:v>4632.68</x:v>
      </x:c>
      <x:c r="D6" s="28" t="n">
        <x:v>350</x:v>
      </x:c>
      <x:c r="E6" s="31" t="n">
        <x:v>11</x:v>
      </x:c>
      <x:c r="F6" s="31" t="n">
        <x:v>1</x:v>
      </x:c>
      <x:c r="G6" s="31" t="n">
        <x:v>1</x:v>
      </x:c>
      <x:c r="H6" s="34" t="n">
        <x:v>31.82</x:v>
      </x:c>
      <x:c r="I6" s="37" t="n">
        <x:v>11</x:v>
      </x:c>
      <x:c r="J6" s="40"/>
      <x:c r="K6" s="40" t="n">
        <x:v>1</x:v>
      </x:c>
      <x:c r="L6" s="40" t="n">
        <x:v>0.343</x:v>
      </x:c>
      <x:c r="M6" s="40" t="n">
        <x:v>0.6363636363636364</x:v>
      </x:c>
      <x:c r="N6" s="40" t="n">
        <x:f>IFERROR(C6/C5-1,"")</x:f>
        <x:v>-0.054261730169358535</x:v>
      </x:c>
      <x:c r="O6" s="40" t="str">
        <x:f>""</x:f>
      </x:c>
    </x:row>
    <x:row r="7">
      <x:c r="A7" s="25" t="n">
        <x:v>46082</x:v>
      </x:c>
      <x:c r="B7" s="22" t="str">
        <x:v>Full month</x:v>
      </x:c>
      <x:c r="C7" s="28" t="n">
        <x:v>3853.03</x:v>
      </x:c>
      <x:c r="D7" s="28" t="n">
        <x:v>2095</x:v>
      </x:c>
      <x:c r="E7" s="31" t="n">
        <x:v>51</x:v>
      </x:c>
      <x:c r="F7" s="31" t="n">
        <x:v>5</x:v>
      </x:c>
      <x:c r="G7" s="31" t="n">
        <x:v>4</x:v>
      </x:c>
      <x:c r="H7" s="34" t="n">
        <x:v>41.08</x:v>
      </x:c>
      <x:c r="I7" s="37" t="n">
        <x:v>10.2</x:v>
      </x:c>
      <x:c r="J7" s="40"/>
      <x:c r="K7" s="40" t="n">
        <x:v>1</x:v>
      </x:c>
      <x:c r="L7" s="40" t="n">
        <x:v>0.21</x:v>
      </x:c>
      <x:c r="M7" s="40" t="n">
        <x:v>1</x:v>
      </x:c>
      <x:c r="N7" s="40" t="n">
        <x:f>IFERROR(C7/C6-1,"")</x:f>
        <x:v>-0.16829351476898902</x:v>
      </x:c>
      <x:c r="O7" s="40" t="n">
        <x:f>IFERROR(D7/D6-1,"")</x:f>
        <x:v>4.985714285714286</x:v>
      </x:c>
    </x:row>
    <x:row r="8">
      <x:c r="A8" s="25" t="n">
        <x:v>46113</x:v>
      </x:c>
      <x:c r="B8" s="22" t="str">
        <x:v>Full month</x:v>
      </x:c>
      <x:c r="C8" s="28" t="n">
        <x:v>6656.15</x:v>
      </x:c>
      <x:c r="D8" s="28" t="n">
        <x:v>5692.01</x:v>
      </x:c>
      <x:c r="E8" s="31" t="n">
        <x:v>45</x:v>
      </x:c>
      <x:c r="F8" s="31" t="n">
        <x:v>25</x:v>
      </x:c>
      <x:c r="G8" s="31" t="n">
        <x:v>21</x:v>
      </x:c>
      <x:c r="H8" s="34" t="n">
        <x:v>126.49</x:v>
      </x:c>
      <x:c r="I8" s="37" t="n">
        <x:v>1.8</x:v>
      </x:c>
      <x:c r="J8" s="40"/>
      <x:c r="K8" s="40" t="n">
        <x:v>0.364</x:v>
      </x:c>
      <x:c r="L8" s="40" t="n">
        <x:v>0.423</x:v>
      </x:c>
      <x:c r="M8" s="40" t="n">
        <x:v>1</x:v>
      </x:c>
      <x:c r="N8" s="40" t="n">
        <x:f>IFERROR(C8/C7-1,"")</x:f>
        <x:v>0.7275105566268623</x:v>
      </x:c>
      <x:c r="O8" s="40" t="n">
        <x:f>IFERROR(D8/D7-1,"")</x:f>
        <x:v>1.716949880668258</x:v>
      </x:c>
    </x:row>
    <x:row r="9">
      <x:c r="A9" s="25" t="n">
        <x:v>46143</x:v>
      </x:c>
      <x:c r="B9" s="22" t="str">
        <x:v>Full month</x:v>
      </x:c>
      <x:c r="C9" s="28" t="n">
        <x:v>8319.26</x:v>
      </x:c>
      <x:c r="D9" s="28" t="n">
        <x:v>11710.09</x:v>
      </x:c>
      <x:c r="E9" s="31" t="n">
        <x:v>57</x:v>
      </x:c>
      <x:c r="F9" s="31" t="n">
        <x:v>35</x:v>
      </x:c>
      <x:c r="G9" s="31" t="n">
        <x:v>13</x:v>
      </x:c>
      <x:c r="H9" s="34" t="n">
        <x:v>205.44</x:v>
      </x:c>
      <x:c r="I9" s="37" t="n">
        <x:v>1.63</x:v>
      </x:c>
      <x:c r="J9" s="40"/>
      <x:c r="K9" s="40" t="n">
        <x:v>0.396</x:v>
      </x:c>
      <x:c r="L9" s="40" t="n">
        <x:v>0.39</x:v>
      </x:c>
      <x:c r="M9" s="40" t="n">
        <x:v>1</x:v>
      </x:c>
      <x:c r="N9" s="40" t="n">
        <x:f>IFERROR(C9/C8-1,"")</x:f>
        <x:v>0.24986065518355205</x:v>
      </x:c>
      <x:c r="O9" s="40" t="n">
        <x:f>IFERROR(D9/D8-1,"")</x:f>
        <x:v>1.05728556344771</x:v>
      </x:c>
    </x:row>
    <x:row r="10">
      <x:c r="A10" s="25" t="n">
        <x:v>46174</x:v>
      </x:c>
      <x:c r="B10" s="22" t="str">
        <x:v>Full month</x:v>
      </x:c>
      <x:c r="C10" s="28" t="n">
        <x:v>11722.24</x:v>
      </x:c>
      <x:c r="D10" s="28" t="n">
        <x:v>11604.79</x:v>
      </x:c>
      <x:c r="E10" s="31" t="n">
        <x:v>54</x:v>
      </x:c>
      <x:c r="F10" s="31" t="n">
        <x:v>36</x:v>
      </x:c>
      <x:c r="G10" s="31" t="n">
        <x:v>9</x:v>
      </x:c>
      <x:c r="H10" s="34" t="n">
        <x:v>214.9</x:v>
      </x:c>
      <x:c r="I10" s="37" t="n">
        <x:v>1.5</x:v>
      </x:c>
      <x:c r="J10" s="40"/>
      <x:c r="K10" s="40" t="n">
        <x:v>0.391</x:v>
      </x:c>
      <x:c r="L10" s="40" t="n">
        <x:v>0.407</x:v>
      </x:c>
      <x:c r="M10" s="40" t="n">
        <x:v>0.9444444444444444</x:v>
      </x:c>
      <x:c r="N10" s="40" t="n">
        <x:f>IFERROR(C10/C9-1,"")</x:f>
        <x:v>0.40904840093950656</x:v>
      </x:c>
      <x:c r="O10" s="40" t="n">
        <x:f>IFERROR(D10/D9-1,"")</x:f>
        <x:v>-0.008992245149268663</x:v>
      </x:c>
    </x:row>
    <x:row r="11">
      <x:c r="A11" s="25" t="n">
        <x:v>46204</x:v>
      </x:c>
      <x:c r="B11" s="22" t="str">
        <x:v>Full month</x:v>
      </x:c>
      <x:c r="C11" s="28" t="n">
        <x:v>15484.04</x:v>
      </x:c>
      <x:c r="D11" s="28" t="n">
        <x:v>15215.59</x:v>
      </x:c>
      <x:c r="E11" s="31" t="n">
        <x:v>66</x:v>
      </x:c>
      <x:c r="F11" s="31" t="n">
        <x:v>38</x:v>
      </x:c>
      <x:c r="G11" s="31" t="n">
        <x:v>9</x:v>
      </x:c>
      <x:c r="H11" s="34" t="n">
        <x:v>230.54</x:v>
      </x:c>
      <x:c r="I11" s="37" t="n">
        <x:v>1.74</x:v>
      </x:c>
      <x:c r="J11" s="40" t="n">
        <x:v>0.212</x:v>
      </x:c>
      <x:c r="K11" s="40" t="n">
        <x:v>0.434</x:v>
      </x:c>
      <x:c r="L11" s="40" t="n">
        <x:v>0.25</x:v>
      </x:c>
      <x:c r="M11" s="40" t="n">
        <x:v>0.21212121212121213</x:v>
      </x:c>
      <x:c r="N11" s="40" t="n">
        <x:f>IFERROR(C11/C10-1,"")</x:f>
        <x:v>0.3209113616510155</x:v>
      </x:c>
      <x:c r="O11" s="40" t="n">
        <x:f>IFERROR(D11/D10-1,"")</x:f>
        <x:v>0.31114737965960604</x:v>
      </x:c>
    </x:row>
    <x:row r="12">
      <x:c r="A12" s="42" t="n">
        <x:v>46235</x:v>
      </x:c>
      <x:c r="B12" s="43" t="str">
        <x:v>MTD to Aug 21</x:v>
      </x:c>
      <x:c r="C12" s="44"/>
      <x:c r="D12" s="44" t="n">
        <x:v>11555.4</x:v>
      </x:c>
      <x:c r="E12" s="45" t="n">
        <x:v>52</x:v>
      </x:c>
      <x:c r="F12" s="45" t="n">
        <x:v>38</x:v>
      </x:c>
      <x:c r="G12" s="45" t="n">
        <x:v>9</x:v>
      </x:c>
      <x:c r="H12" s="46" t="n">
        <x:v>222.22</x:v>
      </x:c>
      <x:c r="I12" s="47" t="n">
        <x:v>1.37</x:v>
      </x:c>
      <x:c r="J12" s="48" t="n">
        <x:v>0.209</x:v>
      </x:c>
      <x:c r="K12" s="48" t="n">
        <x:v>0.348</x:v>
      </x:c>
      <x:c r="L12" s="48" t="n">
        <x:v>0.239</x:v>
      </x:c>
      <x:c r="M12" s="48" t="n">
        <x:v>0.09615384615384616</x:v>
      </x:c>
      <x:c r="N12" s="48" t="str">
        <x:f>""</x:f>
      </x:c>
      <x:c r="O12" s="48" t="str">
        <x:f>""</x:f>
      </x:c>
    </x:row>
    <x:row r="15">
      <x:c r="A15" s="51" t="str">
        <x:v>Interpretation notes</x:v>
      </x:c>
      <x:c r="B15" s="51"/>
      <x:c r="C15" s="51"/>
      <x:c r="D15" s="51"/>
      <x:c r="E15" s="51"/>
      <x:c r="F15" s="51"/>
      <x:c r="G15" s="51"/>
      <x:c r="H15" s="51"/>
      <x:c r="I15" s="51"/>
      <x:c r="J15" s="51"/>
      <x:c r="K15" s="51"/>
      <x:c r="L15" s="51"/>
      <x:c r="M15" s="51"/>
      <x:c r="N15" s="51"/>
      <x:c r="O15" s="51"/>
    </x:row>
    <x:row r="16" ht="28" customHeight="1">
      <x:c r="A16" s="55" t="str">
        <x:v>Cash receipts and shipped revenue are different timing measures, but they converge as the portal matures: June receipts were $11.72K vs $11.60K shipped, and July receipts were $15.48K vs $15.22K shipped. Gross-margin comparisons are not fully like-for-like because estimated COGS coverage fell from 100% in May to 21% in July and 10% in August as actual costs replaced estimates.</x:v>
      </x:c>
      <x:c r="B16" s="55"/>
      <x:c r="C16" s="55"/>
      <x:c r="D16" s="55"/>
      <x:c r="E16" s="55"/>
      <x:c r="F16" s="55"/>
      <x:c r="G16" s="55"/>
      <x:c r="H16" s="55"/>
      <x:c r="I16" s="55"/>
      <x:c r="J16" s="55"/>
      <x:c r="K16" s="55"/>
      <x:c r="L16" s="55"/>
      <x:c r="M16" s="55"/>
      <x:c r="N16" s="55"/>
      <x:c r="O16" s="55"/>
    </x:row>
    <x:row r="17" ht="28" customHeight="1">
      <x:c r="A17" s="55"/>
      <x:c r="B17" s="55"/>
      <x:c r="C17" s="55"/>
      <x:c r="D17" s="55"/>
      <x:c r="E17" s="55"/>
      <x:c r="F17" s="55"/>
      <x:c r="G17" s="55"/>
      <x:c r="H17" s="55"/>
      <x:c r="I17" s="55"/>
      <x:c r="J17" s="55"/>
      <x:c r="K17" s="55"/>
      <x:c r="L17" s="55"/>
      <x:c r="M17" s="55"/>
      <x:c r="N17" s="55"/>
      <x:c r="O17" s="55"/>
    </x:row>
  </x:sheetData>
  <x:mergeCells>
    <x:mergeCell ref="A1:O1"/>
    <x:mergeCell ref="A2:O2"/>
    <x:mergeCell ref="A15:O15"/>
    <x:mergeCell ref="A16:O1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6" hidden="0" customWidth="1"/>
    <x:col min="3" max="3" width="16" hidden="0" customWidth="1"/>
    <x:col min="4" max="4" width="16" hidden="0" customWidth="1"/>
    <x:col min="5" max="5" width="72" hidden="0" customWidth="1"/>
  </x:cols>
  <x:sheetData>
    <x:row r="1" ht="30" customHeight="1">
      <x:c r="A1" s="3" t="str">
        <x:v>Scenario Assumptions</x:v>
      </x:c>
      <x:c r="B1" s="3"/>
      <x:c r="C1" s="3"/>
      <x:c r="D1" s="3"/>
      <x:c r="E1" s="3"/>
    </x:row>
    <x:row r="2" ht="28" customHeight="1">
      <x:c r="A2" s="7" t="str">
        <x:v>Blue cells are editable scenario inputs. The normal case uses recent operating medians; conservative and aggressive cases use observed lower/upper operating performance, not arbitrary percentage haircuts.</x:v>
      </x:c>
      <x:c r="B2" s="7"/>
      <x:c r="C2" s="7"/>
      <x:c r="D2" s="7"/>
      <x:c r="E2" s="7"/>
    </x:row>
    <x:row r="4">
      <x:c r="A4" s="18" t="str">
        <x:v>Driver</x:v>
      </x:c>
      <x:c r="B4" s="19" t="str">
        <x:v>Conservative</x:v>
      </x:c>
      <x:c r="C4" s="19" t="str">
        <x:v>Normal</x:v>
      </x:c>
      <x:c r="D4" s="19" t="str">
        <x:v>Aggressive</x:v>
      </x:c>
      <x:c r="E4" s="20" t="str">
        <x:v>Basis / rationale</x:v>
      </x:c>
    </x:row>
    <x:row r="5">
      <x:c r="A5" s="21" t="str">
        <x:v>Starting monthly active customers</x:v>
      </x:c>
      <x:c r="B5" s="61" t="n">
        <x:v>42</x:v>
      </x:c>
      <x:c r="C5" s="61" t="n">
        <x:v>42</x:v>
      </x:c>
      <x:c r="D5" s="61" t="n">
        <x:v>42</x:v>
      </x:c>
      <x:c r="E5" s="70" t="str">
        <x:v>August MTD active customers were 38; four incremental active customers assumed by month-end.</x:v>
      </x:c>
    </x:row>
    <x:row r="6">
      <x:c r="A6" s="22" t="str">
        <x:v>Monthly logo retention</x:v>
      </x:c>
      <x:c r="B6" s="62" t="n">
        <x:v>0.74</x:v>
      </x:c>
      <x:c r="C6" s="62" t="n">
        <x:v>0.78</x:v>
      </x:c>
      <x:c r="D6" s="62" t="n">
        <x:v>0.84</x:v>
      </x:c>
      <x:c r="E6" s="71" t="str">
        <x:v>Observed May-July: 84.0%, 71.4%, and 77.8%.</x:v>
      </x:c>
    </x:row>
    <x:row r="7">
      <x:c r="A7" s="22" t="str">
        <x:v>New customers / month</x:v>
      </x:c>
      <x:c r="B7" s="63" t="n">
        <x:v>7</x:v>
      </x:c>
      <x:c r="C7" s="63" t="n">
        <x:v>9</x:v>
      </x:c>
      <x:c r="D7" s="63" t="n">
        <x:v>12</x:v>
      </x:c>
      <x:c r="E7" s="71" t="str">
        <x:v>Recent actuals: 13 in May, 9 in June, 9 in July; upside is supported—but not guaranteed—by pipeline.</x:v>
      </x:c>
    </x:row>
    <x:row r="8">
      <x:c r="A8" s="22" t="str">
        <x:v>Reactivated customers / month</x:v>
      </x:c>
      <x:c r="B8" s="63" t="n">
        <x:v>1</x:v>
      </x:c>
      <x:c r="C8" s="63" t="n">
        <x:v>1.5</x:v>
      </x:c>
      <x:c r="D8" s="63" t="n">
        <x:v>2</x:v>
      </x:c>
      <x:c r="E8" s="71" t="str">
        <x:v>Observed reactivation began as the customer base matured.</x:v>
      </x:c>
    </x:row>
    <x:row r="9">
      <x:c r="A9" s="22" t="str">
        <x:v>Orders / active customer</x:v>
      </x:c>
      <x:c r="B9" s="64" t="n">
        <x:v>1.55</x:v>
      </x:c>
      <x:c r="C9" s="64" t="n">
        <x:v>1.65</x:v>
      </x:c>
      <x:c r="D9" s="64" t="n">
        <x:v>1.72</x:v>
      </x:c>
      <x:c r="E9" s="71" t="str">
        <x:v>May-July actuals: 1.63x, 1.50x, and 1.74x.</x:v>
      </x:c>
    </x:row>
    <x:row r="10">
      <x:c r="A10" s="22" t="str">
        <x:v>Starting average order value</x:v>
      </x:c>
      <x:c r="B10" s="65" t="n">
        <x:v>214</x:v>
      </x:c>
      <x:c r="C10" s="65" t="n">
        <x:v>223</x:v>
      </x:c>
      <x:c r="D10" s="65" t="n">
        <x:v>232</x:v>
      </x:c>
      <x:c r="E10" s="71" t="str">
        <x:v>May-July AOV: $205, $215, and $231.</x:v>
      </x:c>
    </x:row>
    <x:row r="11">
      <x:c r="A11" s="22" t="str">
        <x:v>Monthly AOV growth</x:v>
      </x:c>
      <x:c r="B11" s="62" t="n">
        <x:v>0</x:v>
      </x:c>
      <x:c r="C11" s="62" t="n">
        <x:v>0.002</x:v>
      </x:c>
      <x:c r="D11" s="62" t="n">
        <x:v>0.004</x:v>
      </x:c>
      <x:c r="E11" s="71" t="str">
        <x:v>No price increase assumed in downside; upside requires favorable price/mix.</x:v>
      </x:c>
    </x:row>
    <x:row r="12">
      <x:c r="A12" s="22" t="str">
        <x:v>Recurring revenue floor / month</x:v>
      </x:c>
      <x:c r="B12" s="65" t="n">
        <x:v>4967.444444444444</x:v>
      </x:c>
      <x:c r="C12" s="65" t="n">
        <x:v>4967.444444444444</x:v>
      </x:c>
      <x:c r="D12" s="65" t="n">
        <x:v>4967.444444444444</x:v>
      </x:c>
      <x:c r="E12" s="71" t="str">
        <x:v>15 active schedules annualized by their 2-, 3-, and 4-week frequencies.</x:v>
      </x:c>
    </x:row>
    <x:row r="13">
      <x:c r="A13" s="22" t="str">
        <x:v>Time-series blend weight</x:v>
      </x:c>
      <x:c r="B13" s="62" t="n">
        <x:v>0.55</x:v>
      </x:c>
      <x:c r="C13" s="62" t="n">
        <x:v>0.55</x:v>
      </x:c>
      <x:c r="D13" s="62" t="n">
        <x:v>0.55</x:v>
      </x:c>
      <x:c r="E13" s="71" t="str">
        <x:v>Slightly favors observed weekly shipments because the driver history is young.</x:v>
      </x:c>
    </x:row>
    <x:row r="14">
      <x:c r="A14" s="22" t="str">
        <x:v>Driver-model blend weight</x:v>
      </x:c>
      <x:c r="B14" s="62" t="n">
        <x:v>0.45</x:v>
      </x:c>
      <x:c r="C14" s="62" t="n">
        <x:v>0.45</x:v>
      </x:c>
      <x:c r="D14" s="62" t="n">
        <x:v>0.45</x:v>
      </x:c>
      <x:c r="E14" s="71" t="str">
        <x:v>Balances customer mechanics against recent run-rate behavior.</x:v>
      </x:c>
    </x:row>
    <x:row r="15">
      <x:c r="A15" s="22" t="str">
        <x:v>Estimated company YTD through Aug 21</x:v>
      </x:c>
      <x:c r="B15" s="65" t="n">
        <x:v>73609.89</x:v>
      </x:c>
      <x:c r="C15" s="65" t="n">
        <x:v>73609.89</x:v>
      </x:c>
      <x:c r="D15" s="65" t="n">
        <x:v>73609.89</x:v>
      </x:c>
      <x:c r="E15" s="71" t="str">
        <x:v>QuickBooks YTD through Aug 5 plus portal shipments from Aug 6-21; not an audited close.</x:v>
      </x:c>
    </x:row>
    <x:row r="16">
      <x:c r="A16" s="23" t="str">
        <x:v>Forecast Aug 22-31 revenue</x:v>
      </x:c>
      <x:c r="B16" s="66" t="n">
        <x:v>3993.6293484559587</x:v>
      </x:c>
      <x:c r="C16" s="66" t="n">
        <x:v>4908.141466328332</x:v>
      </x:c>
      <x:c r="D16" s="66" t="n">
        <x:v>6004.245423833807</x:v>
      </x:c>
      <x:c r="E16" s="72" t="str">
        <x:v>Six remaining business days, scaled from the time-series scenario path.</x:v>
      </x:c>
    </x:row>
    <x:row r="19">
      <x:c r="A19" s="51" t="str">
        <x:v>Color legend</x:v>
      </x:c>
      <x:c r="B19" s="51"/>
      <x:c r="C19" s="51"/>
      <x:c r="D19" s="51"/>
      <x:c r="E19" s="51"/>
    </x:row>
    <x:row r="20">
      <x:c r="A20" s="58" t="str">
        <x:v>Blue text / yellow fill</x:v>
      </x:c>
      <x:c r="B20" s="21" t="str">
        <x:v>Editable assumptions</x:v>
      </x:c>
      <x:c r="C20" s="21"/>
      <x:c r="D20" s="21"/>
      <x:c r="E20" s="21" t="str">
        <x:v>Change these cells to test a different operating plan.</x:v>
      </x:c>
    </x:row>
    <x:row r="21">
      <x:c r="A21" s="73" t="str">
        <x:v>Green text</x:v>
      </x:c>
      <x:c r="B21" s="23" t="str">
        <x:v>Imported model output / cross-sheet link</x:v>
      </x:c>
      <x:c r="C21" s="23"/>
      <x:c r="D21" s="23"/>
      <x:c r="E21" s="23" t="str">
        <x:v>Derived forecast calculations remain formula-driven.</x:v>
      </x:c>
    </x:row>
  </x:sheetData>
  <x:mergeCells>
    <x:mergeCell ref="A1:E1"/>
    <x:mergeCell ref="A2:E2"/>
    <x:mergeCell ref="A19:E19"/>
  </x:mergeCells>
  <x:pageMargins left="0.7" right="0.7" top="0.75" bottom="0.75" header="0.3" footer="0.3"/>
  <x:legacyDrawing xmlns:r="http://schemas.openxmlformats.org/officeDocument/2006/relationships" r:id="Rf1915f4003c24a15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6" hidden="0" customWidth="1"/>
    <x:col min="4" max="4" width="16" hidden="0" customWidth="1"/>
    <x:col min="5" max="5" width="16" hidden="0" customWidth="1"/>
    <x:col min="6" max="6" width="17" hidden="0" customWidth="1"/>
    <x:col min="7" max="7" width="18" hidden="0" customWidth="1"/>
    <x:col min="8" max="8" width="17" hidden="0" customWidth="1"/>
    <x:col min="9" max="9" width="18" hidden="0" customWidth="1"/>
    <x:col min="10" max="10" width="17" hidden="0" customWidth="1"/>
    <x:col min="11" max="11" width="18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8" hidden="0" customWidth="1"/>
  </x:cols>
  <x:sheetData>
    <x:row r="1" ht="30" customHeight="1">
      <x:c r="A1" s="3" t="str">
        <x:v>Monthly Revenue Forecast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8" customHeight="1">
      <x:c r="A2" s="7" t="str">
        <x:v>Forecast horizon: September 2026-December 2027. The first 12 months (Sep 2026-Aug 2027) are the primary forecast; the remaining four months support a full CY2027 view and carry lower confidence.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</x:row>
    <x:row r="4">
      <x:c r="A4" s="18" t="str">
        <x:v>Month</x:v>
      </x:c>
      <x:c r="B4" s="19" t="str">
        <x:v>Business days</x:v>
      </x:c>
      <x:c r="C4" s="19" t="str">
        <x:v>Time series: low</x:v>
      </x:c>
      <x:c r="D4" s="19" t="str">
        <x:v>Time series: base</x:v>
      </x:c>
      <x:c r="E4" s="19" t="str">
        <x:v>Time series: high</x:v>
      </x:c>
      <x:c r="F4" s="19" t="str">
        <x:v>Cons. active customers</x:v>
      </x:c>
      <x:c r="G4" s="19" t="str">
        <x:v>Cons. driver revenue</x:v>
      </x:c>
      <x:c r="H4" s="19" t="str">
        <x:v>Base active customers</x:v>
      </x:c>
      <x:c r="I4" s="19" t="str">
        <x:v>Base driver revenue</x:v>
      </x:c>
      <x:c r="J4" s="19" t="str">
        <x:v>Agg. active customers</x:v>
      </x:c>
      <x:c r="K4" s="19" t="str">
        <x:v>Agg. driver revenue</x:v>
      </x:c>
      <x:c r="L4" s="19" t="str">
        <x:v>Conservative</x:v>
      </x:c>
      <x:c r="M4" s="19" t="str">
        <x:v>Normal</x:v>
      </x:c>
      <x:c r="N4" s="19" t="str">
        <x:v>Aggressive</x:v>
      </x:c>
      <x:c r="O4" s="19" t="str">
        <x:v>Statistical P10</x:v>
      </x:c>
      <x:c r="P4" s="19" t="str">
        <x:v>Statistical P90</x:v>
      </x:c>
      <x:c r="Q4" s="20" t="str">
        <x:v>Scenario order check</x:v>
      </x:c>
    </x:row>
    <x:row r="5">
      <x:c r="A5" s="24" t="n">
        <x:v>46266</x:v>
      </x:c>
      <x:c r="B5" s="30" t="n">
        <x:v>22</x:v>
      </x:c>
      <x:c r="C5" s="76" t="n">
        <x:v>14643.307611005182</x:v>
      </x:c>
      <x:c r="D5" s="76" t="n">
        <x:v>17996.51870987055</x:v>
      </x:c>
      <x:c r="E5" s="76" t="n">
        <x:v>22015.56655405729</x:v>
      </x:c>
      <x:c r="F5" s="79" t="n">
        <x:f>'Assumptions'!$B$5*'Assumptions'!$B$6+'Assumptions'!$B$7+'Assumptions'!$B$8</x:f>
        <x:v>39.08</x:v>
      </x:c>
      <x:c r="G5" s="27" t="n">
        <x:f>MAX(F5*'Assumptions'!$B$9*'Assumptions'!$B$10*(1+'Assumptions'!$B$11)^1,'Assumptions'!$B$12)</x:f>
        <x:v>12962.836</x:v>
      </x:c>
      <x:c r="H5" s="79" t="n">
        <x:f>'Assumptions'!$C$5*'Assumptions'!$C$6+'Assumptions'!$C$7+'Assumptions'!$C$8</x:f>
        <x:v>43.26</x:v>
      </x:c>
      <x:c r="I5" s="27" t="n">
        <x:f>MAX(H5*'Assumptions'!$C$9*'Assumptions'!$C$10*(1+'Assumptions'!$C$11)^1,'Assumptions'!$C$12)</x:f>
        <x:v>15949.352033999998</x:v>
      </x:c>
      <x:c r="J5" s="79" t="n">
        <x:f>'Assumptions'!$D$5*'Assumptions'!$D$6+'Assumptions'!$D$7+'Assumptions'!$D$8</x:f>
        <x:v>49.28</x:v>
      </x:c>
      <x:c r="K5" s="27" t="n">
        <x:f>MAX(J5*'Assumptions'!$D$9*'Assumptions'!$D$10*(1+'Assumptions'!$D$11)^1,'Assumptions'!$D$12)</x:f>
        <x:v>19743.3499648</x:v>
      </x:c>
      <x:c r="L5" s="82" t="n">
        <x:f>C5*'Assumptions'!$B$13+G5*'Assumptions'!$B$14</x:f>
        <x:v>13887.095386052852</x:v>
      </x:c>
      <x:c r="M5" s="85" t="n">
        <x:f>D5*'Assumptions'!$C$13+I5*'Assumptions'!$C$14</x:f>
        <x:v>17075.293705728804</x:v>
      </x:c>
      <x:c r="N5" s="88" t="n">
        <x:f>E5*'Assumptions'!$D$13+K5*'Assumptions'!$D$14</x:f>
        <x:v>20993.069088891512</x:v>
      </x:c>
      <x:c r="O5" s="76" t="n">
        <x:v>14175.76187450728</x:v>
      </x:c>
      <x:c r="P5" s="76" t="n">
        <x:v>20620.464188973983</x:v>
      </x:c>
      <x:c r="Q5" s="21" t="str">
        <x:f>IF(AND(L5&lt;=M5,M5&lt;=N5),"OK","FAIL")</x:f>
        <x:v>OK</x:v>
      </x:c>
    </x:row>
    <x:row r="6">
      <x:c r="A6" s="25" t="n">
        <x:v>46296</x:v>
      </x:c>
      <x:c r="B6" s="31" t="n">
        <x:v>22</x:v>
      </x:c>
      <x:c r="C6" s="77" t="n">
        <x:v>14429.750017813694</x:v>
      </x:c>
      <x:c r="D6" s="77" t="n">
        <x:v>17938.20133434984</x:v>
      </x:c>
      <x:c r="E6" s="77" t="n">
        <x:v>21953.684882892932</x:v>
      </x:c>
      <x:c r="F6" s="80" t="n">
        <x:f>F5*'Assumptions'!$B$6+'Assumptions'!$B$7+'Assumptions'!$B$8</x:f>
        <x:v>36.919200000000004</x:v>
      </x:c>
      <x:c r="G6" s="28" t="n">
        <x:f>MAX(F6*'Assumptions'!$B$9*'Assumptions'!$B$10*(1+'Assumptions'!$B$11)^2,'Assumptions'!$B$12)</x:f>
        <x:v>12246.098640000002</x:v>
      </x:c>
      <x:c r="H6" s="80" t="n">
        <x:f>H5*'Assumptions'!$C$6+'Assumptions'!$C$7+'Assumptions'!$C$8</x:f>
        <x:v>44.2428</x:v>
      </x:c>
      <x:c r="I6" s="28" t="n">
        <x:f>MAX(H6*'Assumptions'!$C$9*'Assumptions'!$C$10*(1+'Assumptions'!$C$11)^2,'Assumptions'!$C$12)</x:f>
        <x:v>16344.319929593037</x:v>
      </x:c>
      <x:c r="J6" s="80" t="n">
        <x:f>J5*'Assumptions'!$D$6+'Assumptions'!$D$7+'Assumptions'!$D$8</x:f>
        <x:v>55.3952</x:v>
      </x:c>
      <x:c r="K6" s="28" t="n">
        <x:f>MAX(J6*'Assumptions'!$D$9*'Assumptions'!$D$10*(1+'Assumptions'!$D$11)^2,'Assumptions'!$D$12)</x:f>
        <x:v>22282.093491273732</x:v>
      </x:c>
      <x:c r="L6" s="83" t="n">
        <x:f>C6*'Assumptions'!$B$13+G6*'Assumptions'!$B$14</x:f>
        <x:v>13447.106897797534</x:v>
      </x:c>
      <x:c r="M6" s="86" t="n">
        <x:f>D6*'Assumptions'!$C$13+I6*'Assumptions'!$C$14</x:f>
        <x:v>17220.95470220928</x:v>
      </x:c>
      <x:c r="N6" s="89" t="n">
        <x:f>E6*'Assumptions'!$D$13+K6*'Assumptions'!$D$14</x:f>
        <x:v>22101.468756664293</x:v>
      </x:c>
      <x:c r="O6" s="77" t="n">
        <x:v>14046.647105571195</x:v>
      </x:c>
      <x:c r="P6" s="77" t="n">
        <x:v>20909.35250686815</x:v>
      </x:c>
      <x:c r="Q6" s="22" t="str">
        <x:f>IF(AND(L6&lt;=M6,M6&lt;=N6),"OK","FAIL")</x:f>
        <x:v>OK</x:v>
      </x:c>
    </x:row>
    <x:row r="7">
      <x:c r="A7" s="25" t="n">
        <x:v>46327</x:v>
      </x:c>
      <x:c r="B7" s="31" t="n">
        <x:v>21</x:v>
      </x:c>
      <x:c r="C7" s="77" t="n">
        <x:v>13743.394958542573</x:v>
      </x:c>
      <x:c r="D7" s="77" t="n">
        <x:v>17257.642097414493</x:v>
      </x:c>
      <x:c r="E7" s="77" t="n">
        <x:v>21058.640006196045</x:v>
      </x:c>
      <x:c r="F7" s="80" t="n">
        <x:f>F6*'Assumptions'!$B$6+'Assumptions'!$B$7+'Assumptions'!$B$8</x:f>
        <x:v>35.320208</x:v>
      </x:c>
      <x:c r="G7" s="28" t="n">
        <x:f>MAX(F7*'Assumptions'!$B$9*'Assumptions'!$B$10*(1+'Assumptions'!$B$11)^3,'Assumptions'!$B$12)</x:f>
        <x:v>11715.7129936</x:v>
      </x:c>
      <x:c r="H7" s="80" t="n">
        <x:f>H6*'Assumptions'!$C$6+'Assumptions'!$C$7+'Assumptions'!$C$8</x:f>
        <x:v>45.009384000000004</x:v>
      </x:c>
      <x:c r="I7" s="28" t="n">
        <x:f>MAX(H7*'Assumptions'!$C$9*'Assumptions'!$C$10*(1+'Assumptions'!$C$11)^3,'Assumptions'!$C$12)</x:f>
        <x:v>16660.768926780533</x:v>
      </x:c>
      <x:c r="J7" s="80" t="n">
        <x:f>J6*'Assumptions'!$D$6+'Assumptions'!$D$7+'Assumptions'!$D$8</x:f>
        <x:v>60.531968</x:v>
      </x:c>
      <x:c r="K7" s="28" t="n">
        <x:f>MAX(J7*'Assumptions'!$D$9*'Assumptions'!$D$10*(1+'Assumptions'!$D$11)^3,'Assumptions'!$D$12)</x:f>
        <x:v>24445.693599220453</x:v>
      </x:c>
      <x:c r="L7" s="83" t="n">
        <x:f>C7*'Assumptions'!$B$13+G7*'Assumptions'!$B$14</x:f>
        <x:v>12830.938074318416</x:v>
      </x:c>
      <x:c r="M7" s="86" t="n">
        <x:f>D7*'Assumptions'!$C$13+I7*'Assumptions'!$C$14</x:f>
        <x:v>16989.049170629212</x:v>
      </x:c>
      <x:c r="N7" s="89" t="n">
        <x:f>E7*'Assumptions'!$D$13+K7*'Assumptions'!$D$14</x:f>
        <x:v>22582.814123057033</x:v>
      </x:c>
      <x:c r="O7" s="77" t="n">
        <x:v>13692.240846595752</x:v>
      </x:c>
      <x:c r="P7" s="77" t="n">
        <x:v>20652.365582516497</x:v>
      </x:c>
      <x:c r="Q7" s="22" t="str">
        <x:f>IF(AND(L7&lt;=M7,M7&lt;=N7),"OK","FAIL")</x:f>
        <x:v>OK</x:v>
      </x:c>
    </x:row>
    <x:row r="8">
      <x:c r="A8" s="25" t="n">
        <x:v>46357</x:v>
      </x:c>
      <x:c r="B8" s="31" t="n">
        <x:v>23</x:v>
      </x:c>
      <x:c r="C8" s="77" t="n">
        <x:v>15357.301655180157</x:v>
      </x:c>
      <x:c r="D8" s="77" t="n">
        <x:v>18919.497616679215</x:v>
      </x:c>
      <x:c r="E8" s="77" t="n">
        <x:v>22966.65659706527</x:v>
      </x:c>
      <x:c r="F8" s="80" t="n">
        <x:f>F7*'Assumptions'!$B$6+'Assumptions'!$B$7+'Assumptions'!$B$8</x:f>
        <x:v>34.136953919999996</x:v>
      </x:c>
      <x:c r="G8" s="28" t="n">
        <x:f>MAX(F8*'Assumptions'!$B$9*'Assumptions'!$B$10*(1+'Assumptions'!$B$11)^4,'Assumptions'!$B$12)</x:f>
        <x:v>11323.227615263999</x:v>
      </x:c>
      <x:c r="H8" s="80" t="n">
        <x:f>H7*'Assumptions'!$C$6+'Assumptions'!$C$7+'Assumptions'!$C$8</x:f>
        <x:v>45.607319520000004</x:v>
      </x:c>
      <x:c r="I8" s="28" t="n">
        <x:f>MAX(H8*'Assumptions'!$C$9*'Assumptions'!$C$10*(1+'Assumptions'!$C$11)^4,'Assumptions'!$C$12)</x:f>
        <x:v>16915.866209507614</x:v>
      </x:c>
      <x:c r="J8" s="80" t="n">
        <x:f>J7*'Assumptions'!$D$6+'Assumptions'!$D$7+'Assumptions'!$D$8</x:f>
        <x:v>64.84685311999999</x:v>
      </x:c>
      <x:c r="K8" s="28" t="n">
        <x:f>MAX(J8*'Assumptions'!$D$9*'Assumptions'!$D$10*(1+'Assumptions'!$D$11)^4,'Assumptions'!$D$12)</x:f>
        <x:v>26293.00285518808</x:v>
      </x:c>
      <x:c r="L8" s="83" t="n">
        <x:f>C8*'Assumptions'!$B$13+G8*'Assumptions'!$B$14</x:f>
        <x:v>13541.968337217888</x:v>
      </x:c>
      <x:c r="M8" s="86" t="n">
        <x:f>D8*'Assumptions'!$C$13+I8*'Assumptions'!$C$14</x:f>
        <x:v>18017.863483451994</x:v>
      </x:c>
      <x:c r="N8" s="89" t="n">
        <x:f>E8*'Assumptions'!$D$13+K8*'Assumptions'!$D$14</x:f>
        <x:v>24463.51241322054</x:v>
      </x:c>
      <x:c r="O8" s="77" t="n">
        <x:v>14468.232622441225</x:v>
      </x:c>
      <x:c r="P8" s="77" t="n">
        <x:v>21984.371733309315</x:v>
      </x:c>
      <x:c r="Q8" s="22" t="str">
        <x:f>IF(AND(L8&lt;=M8,M8&lt;=N8),"OK","FAIL")</x:f>
        <x:v>OK</x:v>
      </x:c>
    </x:row>
    <x:row r="9">
      <x:c r="A9" s="25" t="n">
        <x:v>46388</x:v>
      </x:c>
      <x:c r="B9" s="31" t="n">
        <x:v>21</x:v>
      </x:c>
      <x:c r="C9" s="77" t="n">
        <x:v>13733.52104001083</x:v>
      </x:c>
      <x:c r="D9" s="77" t="n">
        <x:v>17218.03638920042</x:v>
      </x:c>
      <x:c r="E9" s="77" t="n">
        <x:v>21189.853292680276</x:v>
      </x:c>
      <x:c r="F9" s="80" t="n">
        <x:f>F8*'Assumptions'!$B$6+'Assumptions'!$B$7+'Assumptions'!$B$8</x:f>
        <x:v>33.261345900799995</x:v>
      </x:c>
      <x:c r="G9" s="28" t="n">
        <x:f>MAX(F9*'Assumptions'!$B$9*'Assumptions'!$B$10*(1+'Assumptions'!$B$11)^5,'Assumptions'!$B$12)</x:f>
        <x:v>11032.788435295359</x:v>
      </x:c>
      <x:c r="H9" s="80" t="n">
        <x:f>H8*'Assumptions'!$C$6+'Assumptions'!$C$7+'Assumptions'!$C$8</x:f>
        <x:v>46.073709225600005</x:v>
      </x:c>
      <x:c r="I9" s="28" t="n">
        <x:f>MAX(H9*'Assumptions'!$C$9*'Assumptions'!$C$10*(1+'Assumptions'!$C$11)^5,'Assumptions'!$C$12)</x:f>
        <x:v>17123.02899308997</x:v>
      </x:c>
      <x:c r="J9" s="80" t="n">
        <x:f>J8*'Assumptions'!$D$6+'Assumptions'!$D$7+'Assumptions'!$D$8</x:f>
        <x:v>68.47135662079998</x:v>
      </x:c>
      <x:c r="K9" s="28" t="n">
        <x:f>MAX(J9*'Assumptions'!$D$9*'Assumptions'!$D$10*(1+'Assumptions'!$D$11)^5,'Assumptions'!$D$12)</x:f>
        <x:v>27873.655520106327</x:v>
      </x:c>
      <x:c r="L9" s="83" t="n">
        <x:f>C9*'Assumptions'!$B$13+G9*'Assumptions'!$B$14</x:f>
        <x:v>12518.191367888869</x:v>
      </x:c>
      <x:c r="M9" s="86" t="n">
        <x:f>D9*'Assumptions'!$C$13+I9*'Assumptions'!$C$14</x:f>
        <x:v>17175.28306095072</x:v>
      </x:c>
      <x:c r="N9" s="89" t="n">
        <x:f>E9*'Assumptions'!$D$13+K9*'Assumptions'!$D$14</x:f>
        <x:v>24197.564295022</x:v>
      </x:c>
      <x:c r="O9" s="77" t="n">
        <x:v>13589.598910350314</x:v>
      </x:c>
      <x:c r="P9" s="77" t="n">
        <x:v>21172.579284141575</x:v>
      </x:c>
      <x:c r="Q9" s="22" t="str">
        <x:f>IF(AND(L9&lt;=M9,M9&lt;=N9),"OK","FAIL")</x:f>
        <x:v>OK</x:v>
      </x:c>
    </x:row>
    <x:row r="10">
      <x:c r="A10" s="25" t="n">
        <x:v>46419</x:v>
      </x:c>
      <x:c r="B10" s="31" t="n">
        <x:v>20</x:v>
      </x:c>
      <x:c r="C10" s="77" t="n">
        <x:v>12903.446798490824</x:v>
      </x:c>
      <x:c r="D10" s="77" t="n">
        <x:v>16216.723043309383</x:v>
      </x:c>
      <x:c r="E10" s="77" t="n">
        <x:v>20208.75592953471</x:v>
      </x:c>
      <x:c r="F10" s="80" t="n">
        <x:f>F9*'Assumptions'!$B$6+'Assumptions'!$B$7+'Assumptions'!$B$8</x:f>
        <x:v>32.613395966591995</x:v>
      </x:c>
      <x:c r="G10" s="28" t="n">
        <x:f>MAX(F10*'Assumptions'!$B$9*'Assumptions'!$B$10*(1+'Assumptions'!$B$11)^6,'Assumptions'!$B$12)</x:f>
        <x:v>10817.863442118565</x:v>
      </x:c>
      <x:c r="H10" s="80" t="n">
        <x:f>H9*'Assumptions'!$C$6+'Assumptions'!$C$7+'Assumptions'!$C$8</x:f>
        <x:v>46.437493195968</x:v>
      </x:c>
      <x:c r="I10" s="28" t="n">
        <x:f>MAX(H10*'Assumptions'!$C$9*'Assumptions'!$C$10*(1+'Assumptions'!$C$11)^6,'Assumptions'!$C$12)</x:f>
        <x:v>17292.743667423372</x:v>
      </x:c>
      <x:c r="J10" s="80" t="n">
        <x:f>J9*'Assumptions'!$D$6+'Assumptions'!$D$7+'Assumptions'!$D$8</x:f>
        <x:v>71.51593956147198</x:v>
      </x:c>
      <x:c r="K10" s="28" t="n">
        <x:f>MAX(J10*'Assumptions'!$D$9*'Assumptions'!$D$10*(1+'Assumptions'!$D$11)^6,'Assumptions'!$D$12)</x:f>
        <x:v>29229.51150612041</x:v>
      </x:c>
      <x:c r="L10" s="83" t="n">
        <x:f>C10*'Assumptions'!$B$13+G10*'Assumptions'!$B$14</x:f>
        <x:v>11964.93428812331</x:v>
      </x:c>
      <x:c r="M10" s="86" t="n">
        <x:f>D10*'Assumptions'!$C$13+I10*'Assumptions'!$C$14</x:f>
        <x:v>16700.93232416068</x:v>
      </x:c>
      <x:c r="N10" s="89" t="n">
        <x:f>E10*'Assumptions'!$D$13+K10*'Assumptions'!$D$14</x:f>
        <x:v>24268.095938998275</x:v>
      </x:c>
      <x:c r="O10" s="77" t="n">
        <x:v>13129.912635412244</x:v>
      </x:c>
      <x:c r="P10" s="77" t="n">
        <x:v>20915.47896834956</x:v>
      </x:c>
      <x:c r="Q10" s="22" t="str">
        <x:f>IF(AND(L10&lt;=M10,M10&lt;=N10),"OK","FAIL")</x:f>
        <x:v>OK</x:v>
      </x:c>
    </x:row>
    <x:row r="11">
      <x:c r="A11" s="25" t="n">
        <x:v>46447</x:v>
      </x:c>
      <x:c r="B11" s="31" t="n">
        <x:v>23</x:v>
      </x:c>
      <x:c r="C11" s="77" t="n">
        <x:v>15168.985972763105</x:v>
      </x:c>
      <x:c r="D11" s="77" t="n">
        <x:v>18732.593609117215</x:v>
      </x:c>
      <x:c r="E11" s="77" t="n">
        <x:v>22864.148220774685</x:v>
      </x:c>
      <x:c r="F11" s="80" t="n">
        <x:f>F10*'Assumptions'!$B$6+'Assumptions'!$B$7+'Assumptions'!$B$8</x:f>
        <x:v>32.133913015278075</x:v>
      </x:c>
      <x:c r="G11" s="28" t="n">
        <x:f>MAX(F11*'Assumptions'!$B$9*'Assumptions'!$B$10*(1+'Assumptions'!$B$11)^7,'Assumptions'!$B$12)</x:f>
        <x:v>10658.818947167738</x:v>
      </x:c>
      <x:c r="H11" s="80" t="n">
        <x:f>H10*'Assumptions'!$C$6+'Assumptions'!$C$7+'Assumptions'!$C$8</x:f>
        <x:v>46.721244692855045</x:v>
      </x:c>
      <x:c r="I11" s="28" t="n">
        <x:f>MAX(H11*'Assumptions'!$C$9*'Assumptions'!$C$10*(1+'Assumptions'!$C$11)^7,'Assumptions'!$C$12)</x:f>
        <x:v>17433.206006550554</x:v>
      </x:c>
      <x:c r="J11" s="80" t="n">
        <x:f>J10*'Assumptions'!$D$6+'Assumptions'!$D$7+'Assumptions'!$D$8</x:f>
        <x:v>74.07338923163647</x:v>
      </x:c>
      <x:c r="K11" s="28" t="n">
        <x:f>MAX(J11*'Assumptions'!$D$9*'Assumptions'!$D$10*(1+'Assumptions'!$D$11)^7,'Assumptions'!$D$12)</x:f>
        <x:v>30395.87415203198</x:v>
      </x:c>
      <x:c r="L11" s="83" t="n">
        <x:f>C11*'Assumptions'!$B$13+G11*'Assumptions'!$B$14</x:f>
        <x:v>13139.41081124519</x:v>
      </x:c>
      <x:c r="M11" s="86" t="n">
        <x:f>D11*'Assumptions'!$C$13+I11*'Assumptions'!$C$14</x:f>
        <x:v>18147.86918796222</x:v>
      </x:c>
      <x:c r="N11" s="89" t="n">
        <x:f>E11*'Assumptions'!$D$13+K11*'Assumptions'!$D$14</x:f>
        <x:v>26253.42488984047</x:v>
      </x:c>
      <x:c r="O11" s="77" t="n">
        <x:v>14310.614491275523</x:v>
      </x:c>
      <x:c r="P11" s="77" t="n">
        <x:v>22610.122555626844</x:v>
      </x:c>
      <x:c r="Q11" s="22" t="str">
        <x:f>IF(AND(L11&lt;=M11,M11&lt;=N11),"OK","FAIL")</x:f>
        <x:v>OK</x:v>
      </x:c>
    </x:row>
    <x:row r="12">
      <x:c r="A12" s="25" t="n">
        <x:v>46478</x:v>
      </x:c>
      <x:c r="B12" s="31" t="n">
        <x:v>22</x:v>
      </x:c>
      <x:c r="C12" s="77" t="n">
        <x:v>14543.767249618402</x:v>
      </x:c>
      <x:c r="D12" s="77" t="n">
        <x:v>18099.266739844097</x:v>
      </x:c>
      <x:c r="E12" s="77" t="n">
        <x:v>22013.612062020406</x:v>
      </x:c>
      <x:c r="F12" s="80" t="n">
        <x:f>F11*'Assumptions'!$B$6+'Assumptions'!$B$7+'Assumptions'!$B$8</x:f>
        <x:v>31.779095631305776</x:v>
      </x:c>
      <x:c r="G12" s="28" t="n">
        <x:f>MAX(F12*'Assumptions'!$B$9*'Assumptions'!$B$10*(1+'Assumptions'!$B$11)^8,'Assumptions'!$B$12)</x:f>
        <x:v>10541.126020904127</x:v>
      </x:c>
      <x:c r="H12" s="80" t="n">
        <x:f>H11*'Assumptions'!$C$6+'Assumptions'!$C$7+'Assumptions'!$C$8</x:f>
        <x:v>46.94257086042693</x:v>
      </x:c>
      <x:c r="I12" s="28" t="n">
        <x:f>MAX(H12*'Assumptions'!$C$9*'Assumptions'!$C$10*(1+'Assumptions'!$C$11)^8,'Assumptions'!$C$12)</x:f>
        <x:v>17550.821530850477</x:v>
      </x:c>
      <x:c r="J12" s="80" t="n">
        <x:f>J11*'Assumptions'!$D$6+'Assumptions'!$D$7+'Assumptions'!$D$8</x:f>
        <x:v>76.22164695457462</x:v>
      </x:c>
      <x:c r="K12" s="28" t="n">
        <x:f>MAX(J12*'Assumptions'!$D$9*'Assumptions'!$D$10*(1+'Assumptions'!$D$11)^8,'Assumptions'!$D$12)</x:f>
        <x:v>31402.517246400876</x:v>
      </x:c>
      <x:c r="L12" s="83" t="n">
        <x:f>C12*'Assumptions'!$B$13+G12*'Assumptions'!$B$14</x:f>
        <x:v>12742.578696696979</x:v>
      </x:c>
      <x:c r="M12" s="86" t="n">
        <x:f>D12*'Assumptions'!$C$13+I12*'Assumptions'!$C$14</x:f>
        <x:v>17852.466395796968</x:v>
      </x:c>
      <x:c r="N12" s="89" t="n">
        <x:f>E12*'Assumptions'!$D$13+K12*'Assumptions'!$D$14</x:f>
        <x:v>26238.61939499162</x:v>
      </x:c>
      <x:c r="O12" s="77" t="n">
        <x:v>13930.474998553274</x:v>
      </x:c>
      <x:c r="P12" s="77" t="n">
        <x:v>22290.99559552852</x:v>
      </x:c>
      <x:c r="Q12" s="22" t="str">
        <x:f>IF(AND(L12&lt;=M12,M12&lt;=N12),"OK","FAIL")</x:f>
        <x:v>OK</x:v>
      </x:c>
    </x:row>
    <x:row r="13">
      <x:c r="A13" s="25" t="n">
        <x:v>46508</x:v>
      </x:c>
      <x:c r="B13" s="31" t="n">
        <x:v>21</x:v>
      </x:c>
      <x:c r="C13" s="77" t="n">
        <x:v>13843.531895107884</x:v>
      </x:c>
      <x:c r="D13" s="77" t="n">
        <x:v>17262.303907125708</x:v>
      </x:c>
      <x:c r="E13" s="77" t="n">
        <x:v>21131.259449710684</x:v>
      </x:c>
      <x:c r="F13" s="80" t="n">
        <x:f>F12*'Assumptions'!$B$6+'Assumptions'!$B$7+'Assumptions'!$B$8</x:f>
        <x:v>31.516530767166273</x:v>
      </x:c>
      <x:c r="G13" s="28" t="n">
        <x:f>MAX(F13*'Assumptions'!$B$9*'Assumptions'!$B$10*(1+'Assumptions'!$B$11)^9,'Assumptions'!$B$12)</x:f>
        <x:v>10454.033255469052</x:v>
      </x:c>
      <x:c r="H13" s="80" t="n">
        <x:f>H12*'Assumptions'!$C$6+'Assumptions'!$C$7+'Assumptions'!$C$8</x:f>
        <x:v>47.11520527113301</x:v>
      </x:c>
      <x:c r="I13" s="28" t="n">
        <x:f>MAX(H13*'Assumptions'!$C$9*'Assumptions'!$C$10*(1+'Assumptions'!$C$11)^9,'Assumptions'!$C$12)</x:f>
        <x:v>17650.596570111065</x:v>
      </x:c>
      <x:c r="J13" s="80" t="n">
        <x:f>J12*'Assumptions'!$D$6+'Assumptions'!$D$7+'Assumptions'!$D$8</x:f>
        <x:v>78.02618344184268</x:v>
      </x:c>
      <x:c r="K13" s="28" t="n">
        <x:f>MAX(J13*'Assumptions'!$D$9*'Assumptions'!$D$10*(1+'Assumptions'!$D$11)^9,'Assumptions'!$D$12)</x:f>
        <x:v>32274.55117775401</x:v>
      </x:c>
      <x:c r="L13" s="83" t="n">
        <x:f>C13*'Assumptions'!$B$13+G13*'Assumptions'!$B$14</x:f>
        <x:v>12318.25750727041</x:v>
      </x:c>
      <x:c r="M13" s="86" t="n">
        <x:f>D13*'Assumptions'!$C$13+I13*'Assumptions'!$C$14</x:f>
        <x:v>17437.03560546912</x:v>
      </x:c>
      <x:c r="N13" s="89" t="n">
        <x:f>E13*'Assumptions'!$D$13+K13*'Assumptions'!$D$14</x:f>
        <x:v>26145.74072733018</x:v>
      </x:c>
      <x:c r="O13" s="77" t="n">
        <x:v>13540.804158023604</x:v>
      </x:c>
      <x:c r="P13" s="77" t="n">
        <x:v>21889.0162361742</x:v>
      </x:c>
      <x:c r="Q13" s="22" t="str">
        <x:f>IF(AND(L13&lt;=M13,M13&lt;=N13),"OK","FAIL")</x:f>
        <x:v>OK</x:v>
      </x:c>
    </x:row>
    <x:row r="14">
      <x:c r="A14" s="25" t="n">
        <x:v>46539</x:v>
      </x:c>
      <x:c r="B14" s="31" t="n">
        <x:v>22</x:v>
      </x:c>
      <x:c r="C14" s="77" t="n">
        <x:v>14659.515571099715</x:v>
      </x:c>
      <x:c r="D14" s="77" t="n">
        <x:v>17976.489854906606</x:v>
      </x:c>
      <x:c r="E14" s="77" t="n">
        <x:v>22038.58083637185</x:v>
      </x:c>
      <x:c r="F14" s="80" t="n">
        <x:f>F13*'Assumptions'!$B$6+'Assumptions'!$B$7+'Assumptions'!$B$8</x:f>
        <x:v>31.322232767703042</x:v>
      </x:c>
      <x:c r="G14" s="28" t="n">
        <x:f>MAX(F14*'Assumptions'!$B$9*'Assumptions'!$B$10*(1+'Assumptions'!$B$11)^10,'Assumptions'!$B$12)</x:f>
        <x:v>10389.584609047099</x:v>
      </x:c>
      <x:c r="H14" s="80" t="n">
        <x:f>H13*'Assumptions'!$C$6+'Assumptions'!$C$7+'Assumptions'!$C$8</x:f>
        <x:v>47.24986011148375</x:v>
      </x:c>
      <x:c r="I14" s="28" t="n">
        <x:f>MAX(H14*'Assumptions'!$C$9*'Assumptions'!$C$10*(1+'Assumptions'!$C$11)^10,'Assumptions'!$C$12)</x:f>
        <x:v>17736.443902784482</x:v>
      </x:c>
      <x:c r="J14" s="80" t="n">
        <x:f>J13*'Assumptions'!$D$6+'Assumptions'!$D$7+'Assumptions'!$D$8</x:f>
        <x:v>79.54199409114784</x:v>
      </x:c>
      <x:c r="K14" s="28" t="n">
        <x:f>MAX(J14*'Assumptions'!$D$9*'Assumptions'!$D$10*(1+'Assumptions'!$D$11)^10,'Assumptions'!$D$12)</x:f>
        <x:v>33033.1534110313</x:v>
      </x:c>
      <x:c r="L14" s="83" t="n">
        <x:f>C14*'Assumptions'!$B$13+G14*'Assumptions'!$B$14</x:f>
        <x:v>12738.046638176038</x:v>
      </x:c>
      <x:c r="M14" s="86" t="n">
        <x:f>D14*'Assumptions'!$C$13+I14*'Assumptions'!$C$14</x:f>
        <x:v>17868.46917645165</x:v>
      </x:c>
      <x:c r="N14" s="89" t="n">
        <x:f>E14*'Assumptions'!$D$13+K14*'Assumptions'!$D$14</x:f>
        <x:v>26986.138494968603</x:v>
      </x:c>
      <x:c r="O14" s="77" t="n">
        <x:v>14008.722514622676</x:v>
      </x:c>
      <x:c r="P14" s="77" t="n">
        <x:v>22427.82784878152</x:v>
      </x:c>
      <x:c r="Q14" s="22" t="str">
        <x:f>IF(AND(L14&lt;=M14,M14&lt;=N14),"OK","FAIL")</x:f>
        <x:v>OK</x:v>
      </x:c>
    </x:row>
    <x:row r="15">
      <x:c r="A15" s="25" t="n">
        <x:v>46569</x:v>
      </x:c>
      <x:c r="B15" s="31" t="n">
        <x:v>22</x:v>
      </x:c>
      <x:c r="C15" s="77" t="n">
        <x:v>14502.0584641295</x:v>
      </x:c>
      <x:c r="D15" s="77" t="n">
        <x:v>17960.121354628838</x:v>
      </x:c>
      <x:c r="E15" s="77" t="n">
        <x:v>22029.806308212126</x:v>
      </x:c>
      <x:c r="F15" s="80" t="n">
        <x:f>F14*'Assumptions'!$B$6+'Assumptions'!$B$7+'Assumptions'!$B$8</x:f>
        <x:v>31.17845224810025</x:v>
      </x:c>
      <x:c r="G15" s="28" t="n">
        <x:f>MAX(F15*'Assumptions'!$B$9*'Assumptions'!$B$10*(1+'Assumptions'!$B$11)^11,'Assumptions'!$B$12)</x:f>
        <x:v>10341.892610694853</x:v>
      </x:c>
      <x:c r="H15" s="80" t="n">
        <x:f>H14*'Assumptions'!$C$6+'Assumptions'!$C$7+'Assumptions'!$C$8</x:f>
        <x:v>47.35489088695733</x:v>
      </x:c>
      <x:c r="I15" s="28" t="n">
        <x:f>MAX(H15*'Assumptions'!$C$9*'Assumptions'!$C$10*(1+'Assumptions'!$C$11)^11,'Assumptions'!$C$12)</x:f>
        <x:v>17811.421631403624</x:v>
      </x:c>
      <x:c r="J15" s="80" t="n">
        <x:f>J14*'Assumptions'!$D$6+'Assumptions'!$D$7+'Assumptions'!$D$8</x:f>
        <x:v>80.81527503656419</x:v>
      </x:c>
      <x:c r="K15" s="28" t="n">
        <x:f>MAX(J15*'Assumptions'!$D$9*'Assumptions'!$D$10*(1+'Assumptions'!$D$11)^11,'Assumptions'!$D$12)</x:f>
        <x:v>33696.18454220708</x:v>
      </x:c>
      <x:c r="L15" s="83" t="n">
        <x:f>C15*'Assumptions'!$B$13+G15*'Assumptions'!$B$14</x:f>
        <x:v>12629.983830083911</x:v>
      </x:c>
      <x:c r="M15" s="86" t="n">
        <x:f>D15*'Assumptions'!$C$13+I15*'Assumptions'!$C$14</x:f>
        <x:v>17893.206479177494</x:v>
      </x:c>
      <x:c r="N15" s="89" t="n">
        <x:f>E15*'Assumptions'!$D$13+K15*'Assumptions'!$D$14</x:f>
        <x:v>27279.676513509854</x:v>
      </x:c>
      <x:c r="O15" s="77" t="n">
        <x:v>13880.334815649716</x:v>
      </x:c>
      <x:c r="P15" s="77" t="n">
        <x:v>22637.83103213589</x:v>
      </x:c>
      <x:c r="Q15" s="22" t="str">
        <x:f>IF(AND(L15&lt;=M15,M15&lt;=N15),"OK","FAIL")</x:f>
        <x:v>OK</x:v>
      </x:c>
    </x:row>
    <x:row r="16">
      <x:c r="A16" s="25" t="n">
        <x:v>46600</x:v>
      </x:c>
      <x:c r="B16" s="31" t="n">
        <x:v>22</x:v>
      </x:c>
      <x:c r="C16" s="77" t="n">
        <x:v>14497.118857188001</x:v>
      </x:c>
      <x:c r="D16" s="77" t="n">
        <x:v>17968.216613489527</x:v>
      </x:c>
      <x:c r="E16" s="77" t="n">
        <x:v>22121.846754839436</x:v>
      </x:c>
      <x:c r="F16" s="80" t="n">
        <x:f>F15*'Assumptions'!$B$6+'Assumptions'!$B$7+'Assumptions'!$B$8</x:f>
        <x:v>31.072054663594184</x:v>
      </x:c>
      <x:c r="G16" s="28" t="n">
        <x:f>MAX(F16*'Assumptions'!$B$9*'Assumptions'!$B$10*(1+'Assumptions'!$B$11)^12,'Assumptions'!$B$12)</x:f>
        <x:v>10306.600531914191</x:v>
      </x:c>
      <x:c r="H16" s="80" t="n">
        <x:f>H15*'Assumptions'!$C$6+'Assumptions'!$C$7+'Assumptions'!$C$8</x:f>
        <x:v>47.436814891826714</x:v>
      </x:c>
      <x:c r="I16" s="28" t="n">
        <x:f>MAX(H16*'Assumptions'!$C$9*'Assumptions'!$C$10*(1+'Assumptions'!$C$11)^12,'Assumptions'!$C$12)</x:f>
        <x:v>17877.919878052682</x:v>
      </x:c>
      <x:c r="J16" s="80" t="n">
        <x:f>J15*'Assumptions'!$D$6+'Assumptions'!$D$7+'Assumptions'!$D$8</x:f>
        <x:v>81.88483103071391</x:v>
      </x:c>
      <x:c r="K16" s="28" t="n">
        <x:f>MAX(J16*'Assumptions'!$D$9*'Assumptions'!$D$10*(1+'Assumptions'!$D$11)^12,'Assumptions'!$D$12)</x:f>
        <x:v>34278.70785412141</x:v>
      </x:c>
      <x:c r="L16" s="83" t="n">
        <x:f>C16*'Assumptions'!$B$13+G16*'Assumptions'!$B$14</x:f>
        <x:v>12611.385610814788</x:v>
      </x:c>
      <x:c r="M16" s="86" t="n">
        <x:f>D16*'Assumptions'!$C$13+I16*'Assumptions'!$C$14</x:f>
        <x:v>17927.583082542948</x:v>
      </x:c>
      <x:c r="N16" s="89" t="n">
        <x:f>E16*'Assumptions'!$D$13+K16*'Assumptions'!$D$14</x:f>
        <x:v>27592.434249516326</x:v>
      </x:c>
      <x:c r="O16" s="77" t="n">
        <x:v>13879.70367948037</x:v>
      </x:c>
      <x:c r="P16" s="77" t="n">
        <x:v>22750.68745111316</x:v>
      </x:c>
      <x:c r="Q16" s="22" t="str">
        <x:f>IF(AND(L16&lt;=M16,M16&lt;=N16),"OK","FAIL")</x:f>
        <x:v>OK</x:v>
      </x:c>
    </x:row>
    <x:row r="17">
      <x:c r="A17" s="25" t="n">
        <x:v>46631</x:v>
      </x:c>
      <x:c r="B17" s="31" t="n">
        <x:v>22</x:v>
      </x:c>
      <x:c r="C17" s="77" t="n">
        <x:v>14520.646881651594</x:v>
      </x:c>
      <x:c r="D17" s="77" t="n">
        <x:v>17955.282564914483</x:v>
      </x:c>
      <x:c r="E17" s="77" t="n">
        <x:v>21891.518435009908</x:v>
      </x:c>
      <x:c r="F17" s="80" t="n">
        <x:f>F16*'Assumptions'!$B$6+'Assumptions'!$B$7+'Assumptions'!$B$8</x:f>
        <x:v>30.993320451059695</x:v>
      </x:c>
      <x:c r="G17" s="28" t="n">
        <x:f>MAX(F17*'Assumptions'!$B$9*'Assumptions'!$B$10*(1+'Assumptions'!$B$11)^13,'Assumptions'!$B$12)</x:f>
        <x:v>10280.484393616502</x:v>
      </x:c>
      <x:c r="H17" s="80" t="n">
        <x:f>H16*'Assumptions'!$C$6+'Assumptions'!$C$7+'Assumptions'!$C$8</x:f>
        <x:v>47.50071561562484</x:v>
      </x:c>
      <x:c r="I17" s="28" t="n">
        <x:f>MAX(H17*'Assumptions'!$C$9*'Assumptions'!$C$10*(1+'Assumptions'!$C$11)^13,'Assumptions'!$C$12)</x:f>
        <x:v>17937.806698079352</x:v>
      </x:c>
      <x:c r="J17" s="80" t="n">
        <x:f>J16*'Assumptions'!$D$6+'Assumptions'!$D$7+'Assumptions'!$D$8</x:f>
        <x:v>82.78325806579969</x:v>
      </x:c>
      <x:c r="K17" s="28" t="n">
        <x:f>MAX(J17*'Assumptions'!$D$9*'Assumptions'!$D$10*(1+'Assumptions'!$D$11)^13,'Assumptions'!$D$12)</x:f>
        <x:v>34793.4274890919</x:v>
      </x:c>
      <x:c r="L17" s="83" t="n">
        <x:f>C17*'Assumptions'!$B$13+G17*'Assumptions'!$B$14</x:f>
        <x:v>12612.573762035803</x:v>
      </x:c>
      <x:c r="M17" s="86" t="n">
        <x:f>D17*'Assumptions'!$C$13+I17*'Assumptions'!$C$14</x:f>
        <x:v>17947.418424838674</x:v>
      </x:c>
      <x:c r="N17" s="89" t="n">
        <x:f>E17*'Assumptions'!$D$13+K17*'Assumptions'!$D$14</x:f>
        <x:v>27697.377509346807</x:v>
      </x:c>
      <x:c r="O17" s="77" t="n">
        <x:v>13874.06013356563</x:v>
      </x:c>
      <x:c r="P17" s="77" t="n">
        <x:v>22598.79024571878</x:v>
      </x:c>
      <x:c r="Q17" s="22" t="str">
        <x:f>IF(AND(L17&lt;=M17,M17&lt;=N17),"OK","FAIL")</x:f>
        <x:v>OK</x:v>
      </x:c>
    </x:row>
    <x:row r="18">
      <x:c r="A18" s="25" t="n">
        <x:v>46661</x:v>
      </x:c>
      <x:c r="B18" s="31" t="n">
        <x:v>21</x:v>
      </x:c>
      <x:c r="C18" s="77" t="n">
        <x:v>13758.872650807254</x:v>
      </x:c>
      <x:c r="D18" s="77" t="n">
        <x:v>17120.68980624991</x:v>
      </x:c>
      <x:c r="E18" s="77" t="n">
        <x:v>20936.652066045852</x:v>
      </x:c>
      <x:c r="F18" s="80" t="n">
        <x:f>F17*'Assumptions'!$B$6+'Assumptions'!$B$7+'Assumptions'!$B$8</x:f>
        <x:v>30.935057133784174</x:v>
      </x:c>
      <x:c r="G18" s="28" t="n">
        <x:f>MAX(F18*'Assumptions'!$B$9*'Assumptions'!$B$10*(1+'Assumptions'!$B$11)^14,'Assumptions'!$B$12)</x:f>
        <x:v>10261.158451276211</x:v>
      </x:c>
      <x:c r="H18" s="80" t="n">
        <x:f>H17*'Assumptions'!$C$6+'Assumptions'!$C$7+'Assumptions'!$C$8</x:f>
        <x:v>47.55055818018738</x:v>
      </x:c>
      <x:c r="I18" s="28" t="n">
        <x:f>MAX(H18*'Assumptions'!$C$9*'Assumptions'!$C$10*(1+'Assumptions'!$C$11)^14,'Assumptions'!$C$12)</x:f>
        <x:v>17992.54212041577</x:v>
      </x:c>
      <x:c r="J18" s="80" t="n">
        <x:f>J17*'Assumptions'!$D$6+'Assumptions'!$D$7+'Assumptions'!$D$8</x:f>
        <x:v>83.53793677527173</x:v>
      </x:c>
      <x:c r="K18" s="28" t="n">
        <x:f>MAX(J18*'Assumptions'!$D$9*'Assumptions'!$D$10*(1+'Assumptions'!$D$11)^14,'Assumptions'!$D$12)</x:f>
        <x:v>35251.057986173575</x:v>
      </x:c>
      <x:c r="L18" s="83" t="n">
        <x:f>C18*'Assumptions'!$B$13+G18*'Assumptions'!$B$14</x:f>
        <x:v>12184.901261018285</x:v>
      </x:c>
      <x:c r="M18" s="86" t="n">
        <x:f>D18*'Assumptions'!$C$13+I18*'Assumptions'!$C$14</x:f>
        <x:v>17513.02334762455</x:v>
      </x:c>
      <x:c r="N18" s="89" t="n">
        <x:f>E18*'Assumptions'!$D$13+K18*'Assumptions'!$D$14</x:f>
        <x:v>27378.134730103327</x:v>
      </x:c>
      <x:c r="O18" s="77" t="n">
        <x:v>13475.246967127341</x:v>
      </x:c>
      <x:c r="P18" s="77" t="n">
        <x:v>22176.520327951377</x:v>
      </x:c>
      <x:c r="Q18" s="22" t="str">
        <x:f>IF(AND(L18&lt;=M18,M18&lt;=N18),"OK","FAIL")</x:f>
        <x:v>OK</x:v>
      </x:c>
    </x:row>
    <x:row r="19">
      <x:c r="A19" s="25" t="n">
        <x:v>46692</x:v>
      </x:c>
      <x:c r="B19" s="31" t="n">
        <x:v>22</x:v>
      </x:c>
      <x:c r="C19" s="77" t="n">
        <x:v>14546.146995196124</x:v>
      </x:c>
      <x:c r="D19" s="77" t="n">
        <x:v>18068.11120037652</x:v>
      </x:c>
      <x:c r="E19" s="77" t="n">
        <x:v>22037.322182442917</x:v>
      </x:c>
      <x:c r="F19" s="80" t="n">
        <x:f>F18*'Assumptions'!$B$6+'Assumptions'!$B$7+'Assumptions'!$B$8</x:f>
        <x:v>30.89194227900029</x:v>
      </x:c>
      <x:c r="G19" s="28" t="n">
        <x:f>MAX(F19*'Assumptions'!$B$9*'Assumptions'!$B$10*(1+'Assumptions'!$B$11)^15,'Assumptions'!$B$12)</x:f>
        <x:v>10246.857253944398</x:v>
      </x:c>
      <x:c r="H19" s="80" t="n">
        <x:f>H18*'Assumptions'!$C$6+'Assumptions'!$C$7+'Assumptions'!$C$8</x:f>
        <x:v>47.589435380546156</x:v>
      </x:c>
      <x:c r="I19" s="28" t="n">
        <x:f>MAX(H19*'Assumptions'!$C$9*'Assumptions'!$C$10*(1+'Assumptions'!$C$11)^15,'Assumptions'!$C$12)</x:f>
        <x:v>18043.267276931947</x:v>
      </x:c>
      <x:c r="J19" s="80" t="n">
        <x:f>J18*'Assumptions'!$D$6+'Assumptions'!$D$7+'Assumptions'!$D$8</x:f>
        <x:v>84.17186689122825</x:v>
      </x:c>
      <x:c r="K19" s="28" t="n">
        <x:f>MAX(J19*'Assumptions'!$D$9*'Assumptions'!$D$10*(1+'Assumptions'!$D$11)^15,'Assumptions'!$D$12)</x:f>
        <x:v>35660.63593410826</x:v>
      </x:c>
      <x:c r="L19" s="83" t="n">
        <x:f>C19*'Assumptions'!$B$13+G19*'Assumptions'!$B$14</x:f>
        <x:v>12611.466611632848</x:v>
      </x:c>
      <x:c r="M19" s="86" t="n">
        <x:f>D19*'Assumptions'!$C$13+I19*'Assumptions'!$C$14</x:f>
        <x:v>18056.931434826463</x:v>
      </x:c>
      <x:c r="N19" s="89" t="n">
        <x:f>E19*'Assumptions'!$D$13+K19*'Assumptions'!$D$14</x:f>
        <x:v>28167.81337069232</x:v>
      </x:c>
      <x:c r="O19" s="77" t="n">
        <x:v>14036.628414112956</x:v>
      </x:c>
      <x:c r="P19" s="77" t="n">
        <x:v>22935.565972468466</x:v>
      </x:c>
      <x:c r="Q19" s="22" t="str">
        <x:f>IF(AND(L19&lt;=M19,M19&lt;=N19),"OK","FAIL")</x:f>
        <x:v>OK</x:v>
      </x:c>
    </x:row>
    <x:row r="20">
      <x:c r="A20" s="26" t="n">
        <x:v>46722</x:v>
      </x:c>
      <x:c r="B20" s="32" t="n">
        <x:v>23</x:v>
      </x:c>
      <x:c r="C20" s="78" t="n">
        <x:v>15283.548879117443</x:v>
      </x:c>
      <x:c r="D20" s="78" t="n">
        <x:v>18907.97739934575</x:v>
      </x:c>
      <x:c r="E20" s="78" t="n">
        <x:v>23114.093271412494</x:v>
      </x:c>
      <x:c r="F20" s="81" t="n">
        <x:f>F19*'Assumptions'!$B$6+'Assumptions'!$B$7+'Assumptions'!$B$8</x:f>
        <x:v>30.860037286460216</x:v>
      </x:c>
      <x:c r="G20" s="29" t="n">
        <x:f>MAX(F20*'Assumptions'!$B$9*'Assumptions'!$B$10*(1+'Assumptions'!$B$11)^16,'Assumptions'!$B$12)</x:f>
        <x:v>10236.274367918853</x:v>
      </x:c>
      <x:c r="H20" s="81" t="n">
        <x:f>H19*'Assumptions'!$C$6+'Assumptions'!$C$7+'Assumptions'!$C$8</x:f>
        <x:v>47.619759596826</x:v>
      </x:c>
      <x:c r="I20" s="29" t="n">
        <x:f>MAX(H20*'Assumptions'!$C$9*'Assumptions'!$C$10*(1+'Assumptions'!$C$11)^16,'Assumptions'!$C$12)</x:f>
        <x:v>18090.874062373332</x:v>
      </x:c>
      <x:c r="J20" s="81" t="n">
        <x:f>J19*'Assumptions'!$D$6+'Assumptions'!$D$7+'Assumptions'!$D$8</x:f>
        <x:v>84.70436818863172</x:v>
      </x:c>
      <x:c r="K20" s="29" t="n">
        <x:f>MAX(J20*'Assumptions'!$D$9*'Assumptions'!$D$10*(1+'Assumptions'!$D$11)^16,'Assumptions'!$D$12)</x:f>
        <x:v>36029.78280696201</x:v>
      </x:c>
      <x:c r="L20" s="84" t="n">
        <x:f>C20*'Assumptions'!$B$13+G20*'Assumptions'!$B$14</x:f>
        <x:v>13012.275349078078</x:v>
      </x:c>
      <x:c r="M20" s="87" t="n">
        <x:f>D20*'Assumptions'!$C$13+I20*'Assumptions'!$C$14</x:f>
        <x:v>18540.280897708162</x:v>
      </x:c>
      <x:c r="N20" s="90" t="n">
        <x:f>E20*'Assumptions'!$D$13+K20*'Assumptions'!$D$14</x:f>
        <x:v>28926.153562409778</x:v>
      </x:c>
      <x:c r="O20" s="78" t="n">
        <x:v>14340.617336274549</x:v>
      </x:c>
      <x:c r="P20" s="78" t="n">
        <x:v>23671.67329064261</x:v>
      </x:c>
      <x:c r="Q20" s="23" t="str">
        <x:f>IF(AND(L20&lt;=M20,M20&lt;=N20),"OK","FAIL")</x:f>
        <x:v>OK</x:v>
      </x:c>
    </x:row>
  </x:sheetData>
  <x:mergeCells>
    <x:mergeCell ref="A1:Q1"/>
    <x:mergeCell ref="A2:Q2"/>
  </x:mergeCells>
  <x:conditionalFormatting sqref="Q5:Q20">
    <x:cfRule type="containsText" dxfId="0" priority="1" operator="containsText" text="OK"/>
    <x:cfRule type="containsText" dxfId="1" priority="2" operator="containsText" text="FAIL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30" customHeight="1">
      <x:c r="A1" s="3" t="str">
        <x:v>Model Validation &amp; Range</x:v>
      </x:c>
      <x:c r="B1" s="3"/>
      <x:c r="C1" s="3"/>
      <x:c r="D1" s="3"/>
      <x:c r="E1" s="3"/>
      <x:c r="F1" s="3"/>
      <x:c r="G1" s="3"/>
      <x:c r="H1" s="3"/>
    </x:row>
    <x:row r="2" ht="28" customHeight="1">
      <x:c r="A2" s="7" t="str">
        <x:v>Rolling-origin backtests use weekly shipped revenue. Error is high because wholesale orders are lumpy and the business has only five complete mature months; use scenarios as operating ranges, not promises.</x:v>
      </x:c>
      <x:c r="B2" s="7"/>
      <x:c r="C2" s="7"/>
      <x:c r="D2" s="7"/>
      <x:c r="E2" s="7"/>
      <x:c r="F2" s="7"/>
      <x:c r="G2" s="7"/>
      <x:c r="H2" s="7"/>
    </x:row>
    <x:row r="4">
      <x:c r="A4" s="18" t="str">
        <x:v>Model</x:v>
      </x:c>
      <x:c r="B4" s="19" t="str">
        <x:v>1-week MAE</x:v>
      </x:c>
      <x:c r="C4" s="19" t="str">
        <x:v>1-week sMAPE</x:v>
      </x:c>
      <x:c r="D4" s="19" t="str">
        <x:v>1-week bias</x:v>
      </x:c>
      <x:c r="E4" s="19" t="str">
        <x:v>4-week MAE</x:v>
      </x:c>
      <x:c r="F4" s="19" t="str">
        <x:v>4-week sMAPE</x:v>
      </x:c>
      <x:c r="G4" s="19" t="str">
        <x:v>4-week bias</x:v>
      </x:c>
      <x:c r="H4" s="20" t="str">
        <x:v>Ensemble weight</x:v>
      </x:c>
    </x:row>
    <x:row r="5">
      <x:c r="A5" s="21" t="str">
        <x:v>Trailing 4-week mean</x:v>
      </x:c>
      <x:c r="B5" s="27" t="n">
        <x:v>910.1727941176471</x:v>
      </x:c>
      <x:c r="C5" s="39" t="n">
        <x:v>0.33739916429019573</x:v>
      </x:c>
      <x:c r="D5" s="27" t="n">
        <x:v>-344.73426470588237</x:v>
      </x:c>
      <x:c r="E5" s="27" t="n">
        <x:v>1040.8167857142857</x:v>
      </x:c>
      <x:c r="F5" s="39" t="n">
        <x:v>0.35720842283534154</x:v>
      </x:c>
      <x:c r="G5" s="27" t="n">
        <x:v>-787.8357142857143</x:v>
      </x:c>
      <x:c r="H5" s="39" t="n">
        <x:v>0.5116477548963757</x:v>
      </x:c>
    </x:row>
    <x:row r="6">
      <x:c r="A6" s="23" t="str">
        <x:v>Damped Holt on log weekly sales</x:v>
      </x:c>
      <x:c r="B6" s="29" t="n">
        <x:v>994.7576671481338</x:v>
      </x:c>
      <x:c r="C6" s="41" t="n">
        <x:v>0.35503175654634545</x:v>
      </x:c>
      <x:c r="D6" s="29" t="n">
        <x:v>-216.34771904212204</x:v>
      </x:c>
      <x:c r="E6" s="29" t="n">
        <x:v>1136.9199019772427</x:v>
      </x:c>
      <x:c r="F6" s="41" t="n">
        <x:v>0.37194124461532274</x:v>
      </x:c>
      <x:c r="G6" s="29" t="n">
        <x:v>-466.6569659464395</x:v>
      </x:c>
      <x:c r="H6" s="41" t="n">
        <x:v>0.4883522451036243</x:v>
      </x:c>
    </x:row>
    <x:row r="9">
      <x:c r="A9" s="51" t="str">
        <x:v>Alternative model outputs</x:v>
      </x:c>
      <x:c r="B9" s="51"/>
      <x:c r="C9" s="51"/>
      <x:c r="D9" s="51"/>
      <x:c r="E9" s="51"/>
      <x:c r="F9" s="51"/>
      <x:c r="G9" s="51"/>
      <x:c r="H9" s="51"/>
    </x:row>
    <x:row r="10">
      <x:c r="A10" s="18" t="str">
        <x:v>Model</x:v>
      </x:c>
      <x:c r="B10" s="19" t="str">
        <x:v>Next 12 months</x:v>
      </x:c>
      <x:c r="C10" s="19" t="str">
        <x:v>Decision</x:v>
      </x:c>
      <x:c r="D10" s="19" t="str">
        <x:v>Why</x:v>
      </x:c>
      <x:c r="E10" s="20" t="str">
        <x:v>Role in final forecast</x:v>
      </x:c>
    </x:row>
    <x:row r="11">
      <x:c r="A11" s="21" t="str">
        <x:v>Weekly shipment ensemble</x:v>
      </x:c>
      <x:c r="B11" s="27" t="n">
        <x:v>196465.56049790332</x:v>
      </x:c>
      <x:c r="C11" s="95" t="str">
        <x:v>USE</x:v>
      </x:c>
      <x:c r="D11" s="99" t="str">
        <x:v>Anchors to the recent $3.7K-$4.2K weekly run rate.</x:v>
      </x:c>
      <x:c r="E11" s="99" t="str">
        <x:v>55% blend weight</x:v>
      </x:c>
    </x:row>
    <x:row r="12">
      <x:c r="A12" s="22" t="str">
        <x:v>Customer / cohort driver model</x:v>
      </x:c>
      <x:c r="B12" s="28" t="n">
        <x:v>206346.48928014736</x:v>
      </x:c>
      <x:c r="C12" s="96" t="str">
        <x:v>USE</x:v>
      </x:c>
      <x:c r="D12" s="100" t="str">
        <x:v>Builds revenue from active customers, retention, frequency, and AOV.</x:v>
      </x:c>
      <x:c r="E12" s="100" t="str">
        <x:v>45% blend weight</x:v>
      </x:c>
    </x:row>
    <x:row r="13">
      <x:c r="A13" s="22" t="str">
        <x:v>Seven-month cash trend</x:v>
      </x:c>
      <x:c r="B13" s="28" t="n">
        <x:v>522680.89860204386</x:v>
      </x:c>
      <x:c r="C13" s="92" t="str">
        <x:v>REJECT</x:v>
      </x:c>
      <x:c r="D13" s="100" t="str">
        <x:v>Mechanically compounds the launch ramp and produces an implausible result.</x:v>
      </x:c>
      <x:c r="E13" s="100" t="str">
        <x:v>Cross-check only</x:v>
      </x:c>
    </x:row>
    <x:row r="14">
      <x:c r="A14" s="23" t="str">
        <x:v>Final normal case</x:v>
      </x:c>
      <x:c r="B14" s="29" t="n">
        <x:v>210306.00637453108</x:v>
      </x:c>
      <x:c r="C14" s="98" t="str">
        <x:v>USE</x:v>
      </x:c>
      <x:c r="D14" s="101" t="str">
        <x:v>Reconciles the two defensible model families.</x:v>
      </x:c>
      <x:c r="E14" s="101" t="str">
        <x:v>Primary forecast</x:v>
      </x:c>
    </x:row>
    <x:row r="17">
      <x:c r="A17" s="51" t="str">
        <x:v>Statistical uncertainty around the normal forecast</x:v>
      </x:c>
      <x:c r="B17" s="51"/>
      <x:c r="C17" s="51"/>
      <x:c r="D17" s="51"/>
      <x:c r="E17" s="51"/>
      <x:c r="F17" s="51"/>
      <x:c r="G17" s="51"/>
      <x:c r="H17" s="51"/>
    </x:row>
    <x:row r="18">
      <x:c r="A18" s="18" t="str">
        <x:v>Range</x:v>
      </x:c>
      <x:c r="B18" s="19" t="str">
        <x:v>Next 12-month total</x:v>
      </x:c>
      <x:c r="C18" s="20" t="str">
        <x:v>Interpretation</x:v>
      </x:c>
    </x:row>
    <x:row r="19">
      <x:c r="A19" s="21" t="str">
        <x:v>95% lower (P2.5)</x:v>
      </x:c>
      <x:c r="B19" s="27" t="n">
        <x:v>162620.79839667463</x:v>
      </x:c>
      <x:c r="C19" s="21" t="str">
        <x:v>Severe downside within the modeled distribution</x:v>
      </x:c>
    </x:row>
    <x:row r="20">
      <x:c r="A20" s="22" t="str">
        <x:v>80% lower (P10)</x:v>
      </x:c>
      <x:c r="B20" s="28" t="n">
        <x:v>177167.70071938084</x:v>
      </x:c>
      <x:c r="C20" s="22" t="str">
        <x:v>Practical downside confidence bound</x:v>
      </x:c>
    </x:row>
    <x:row r="21">
      <x:c r="A21" s="22" t="str">
        <x:v>80% upper (P90)</x:v>
      </x:c>
      <x:c r="B21" s="28" t="n">
        <x:v>249131.00540275354</x:v>
      </x:c>
      <x:c r="C21" s="22" t="str">
        <x:v>Practical upside confidence bound</x:v>
      </x:c>
    </x:row>
    <x:row r="22">
      <x:c r="A22" s="23" t="str">
        <x:v>95% upper (P97.5)</x:v>
      </x:c>
      <x:c r="B22" s="29" t="n">
        <x:v>270707.2038767214</x:v>
      </x:c>
      <x:c r="C22" s="23" t="str">
        <x:v>High-end statistical bound</x:v>
      </x:c>
    </x:row>
    <x:row r="25" ht="26" customHeight="1">
      <x:c r="A25" s="105" t="str">
        <x:v>The aggressive operating case is deliberately above the 95% statistical range. It is a plan requiring sustained 84% monthly retention, 12 new customers each month, stronger order frequency, and favorable AOV/mix—not the most likely outcome. No annual seasonality is modeled because fewer than 12 months of comparable sales exist.</x:v>
      </x:c>
      <x:c r="B25" s="105"/>
      <x:c r="C25" s="105"/>
      <x:c r="D25" s="105"/>
      <x:c r="E25" s="105"/>
      <x:c r="F25" s="105"/>
      <x:c r="G25" s="105"/>
      <x:c r="H25" s="105"/>
    </x:row>
    <x:row r="26" ht="26" customHeight="1">
      <x:c r="A26" s="105"/>
      <x:c r="B26" s="105"/>
      <x:c r="C26" s="105"/>
      <x:c r="D26" s="105"/>
      <x:c r="E26" s="105"/>
      <x:c r="F26" s="105"/>
      <x:c r="G26" s="105"/>
      <x:c r="H26" s="105"/>
    </x:row>
    <x:row r="27" ht="26" customHeight="1">
      <x:c r="A27" s="105"/>
      <x:c r="B27" s="105"/>
      <x:c r="C27" s="105"/>
      <x:c r="D27" s="105"/>
      <x:c r="E27" s="105"/>
      <x:c r="F27" s="105"/>
      <x:c r="G27" s="105"/>
      <x:c r="H27" s="105"/>
    </x:row>
  </x:sheetData>
  <x:mergeCells>
    <x:mergeCell ref="A1:H1"/>
    <x:mergeCell ref="A2:H2"/>
    <x:mergeCell ref="A9:H9"/>
    <x:mergeCell ref="A17:H17"/>
    <x:mergeCell ref="A25:H27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6" hidden="0" customWidth="1"/>
    <x:col min="3" max="3" width="14" hidden="0" customWidth="1"/>
    <x:col min="4" max="4" width="22" hidden="0" customWidth="1"/>
    <x:col min="5" max="5" width="16" hidden="0" customWidth="1"/>
    <x:col min="6" max="6" width="27" hidden="0" customWidth="1"/>
    <x:col min="7" max="7" width="55" hidden="0" customWidth="1"/>
    <x:col min="8" max="8" width="14" hidden="0" customWidth="1"/>
    <x:col min="9" max="9" width="58" hidden="0" customWidth="1"/>
  </x:cols>
  <x:sheetData>
    <x:row r="1" ht="30" customHeight="1">
      <x:c r="A1" s="3" t="str">
        <x:v>Sources, Reconciliation &amp; Model Checks</x:v>
      </x:c>
      <x:c r="B1" s="3"/>
      <x:c r="C1" s="3"/>
      <x:c r="D1" s="3"/>
      <x:c r="E1" s="3"/>
      <x:c r="F1" s="3"/>
      <x:c r="G1" s="3"/>
      <x:c r="H1" s="3"/>
      <x:c r="I1" s="3"/>
    </x:row>
    <x:row r="2" ht="28" customHeight="1">
      <x:c r="A2" s="7" t="str">
        <x:v>All business data is user-owned. Live database queries were read-only. Local exports are dated and are retained as reconciliation sources rather than silently blended with shipment actuals.</x:v>
      </x:c>
      <x:c r="B2" s="7"/>
      <x:c r="C2" s="7"/>
      <x:c r="D2" s="7"/>
      <x:c r="E2" s="7"/>
      <x:c r="F2" s="7"/>
      <x:c r="G2" s="7"/>
      <x:c r="H2" s="7"/>
      <x:c r="I2" s="7"/>
    </x:row>
    <x:row r="4">
      <x:c r="A4" s="18" t="str">
        <x:v>Item</x:v>
      </x:c>
      <x:c r="B4" s="19" t="str">
        <x:v>Value</x:v>
      </x:c>
      <x:c r="C4" s="19" t="str">
        <x:v>Units</x:v>
      </x:c>
      <x:c r="D4" s="19" t="str">
        <x:v>Period / as-of</x:v>
      </x:c>
      <x:c r="E4" s="19" t="str">
        <x:v>Source type</x:v>
      </x:c>
      <x:c r="F4" s="19" t="str">
        <x:v>Source name</x:v>
      </x:c>
      <x:c r="G4" s="19" t="str">
        <x:v>Reference</x:v>
      </x:c>
      <x:c r="H4" s="19" t="str">
        <x:v>Owner</x:v>
      </x:c>
      <x:c r="I4" s="20" t="str">
        <x:v>Notes</x:v>
      </x:c>
    </x:row>
    <x:row r="5">
      <x:c r="A5" s="21" t="str">
        <x:v>Portal shipped revenue</x:v>
      </x:c>
      <x:c r="B5" s="27" t="n">
        <x:v>58222.88</x:v>
      </x:c>
      <x:c r="C5" s="21" t="str">
        <x:v>USD</x:v>
      </x:c>
      <x:c r="D5" s="21" t="str">
        <x:v>Feb 27-Aug 21, 2026</x:v>
      </x:c>
      <x:c r="E5" s="21" t="str">
        <x:v>Live database</x:v>
      </x:c>
      <x:c r="F5" s="21" t="str">
        <x:v>Supabase public.orders</x:v>
      </x:c>
      <x:c r="G5" s="99" t="str">
        <x:v>https://supabase.com/dashboard/project/ovrzooxvvernqqcotpkv</x:v>
      </x:c>
      <x:c r="H5" s="99" t="str">
        <x:v>SoBrew</x:v>
      </x:c>
      <x:c r="I5" s="99" t="str">
        <x:v>336 shipped standard orders; samples excluded; America/Chicago.</x:v>
      </x:c>
    </x:row>
    <x:row r="6">
      <x:c r="A6" s="22" t="str">
        <x:v>Portal shipped orders</x:v>
      </x:c>
      <x:c r="B6" s="31" t="n">
        <x:v>336</x:v>
      </x:c>
      <x:c r="C6" s="22" t="str">
        <x:v>orders</x:v>
      </x:c>
      <x:c r="D6" s="22" t="str">
        <x:v>Feb 27-Aug 21, 2026</x:v>
      </x:c>
      <x:c r="E6" s="22" t="str">
        <x:v>Live database</x:v>
      </x:c>
      <x:c r="F6" s="22" t="str">
        <x:v>Supabase public.orders</x:v>
      </x:c>
      <x:c r="G6" s="100" t="str">
        <x:v>https://supabase.com/dashboard/project/ovrzooxvvernqqcotpkv</x:v>
      </x:c>
      <x:c r="H6" s="100" t="str">
        <x:v>SoBrew</x:v>
      </x:c>
      <x:c r="I6" s="100" t="str">
        <x:v>Archived shipped orders included; open orders excluded.</x:v>
      </x:c>
    </x:row>
    <x:row r="7">
      <x:c r="A7" s="22" t="str">
        <x:v>Cash sales receipts</x:v>
      </x:c>
      <x:c r="B7" s="28" t="n">
        <x:v>55565.88</x:v>
      </x:c>
      <x:c r="C7" s="22" t="str">
        <x:v>USD</x:v>
      </x:c>
      <x:c r="D7" s="22" t="str">
        <x:v>Jan 1-Jul 31, 2026</x:v>
      </x:c>
      <x:c r="E7" s="22" t="str">
        <x:v>Live database</x:v>
      </x:c>
      <x:c r="F7" s="22" t="str">
        <x:v>Supabase accounting_transactions</x:v>
      </x:c>
      <x:c r="G7" s="100" t="str">
        <x:v>https://supabase.com/dashboard/project/ovrzooxvvernqqcotpkv</x:v>
      </x:c>
      <x:c r="H7" s="100" t="str">
        <x:v>SoBrew</x:v>
      </x:c>
      <x:c r="I7" s="100" t="str">
        <x:v>165 categorized Sales Revenue transactions; cash timing, not accrual revenue.</x:v>
      </x:c>
    </x:row>
    <x:row r="8">
      <x:c r="A8" s="22" t="str">
        <x:v>QuickBooks YTD all sales</x:v>
      </x:c>
      <x:c r="B8" s="28" t="n">
        <x:v>64673.49</x:v>
      </x:c>
      <x:c r="C8" s="22" t="str">
        <x:v>USD</x:v>
      </x:c>
      <x:c r="D8" s="22" t="str">
        <x:v>Jan 1-Aug 5, 2026</x:v>
      </x:c>
      <x:c r="E8" s="22" t="str">
        <x:v>Local export</x:v>
      </x:c>
      <x:c r="F8" s="22" t="str">
        <x:v>QuickBooks all-sales CSV</x:v>
      </x:c>
      <x:c r="G8" s="100" t="str">
        <x:v>/Users/zachfeinstone/Desktop/Sobrew-Wholesale-Ordering-App/output/reports/quickbooks-customer-ytd-orders-all-sales-2026-08-05.csv</x:v>
      </x:c>
      <x:c r="H8" s="100" t="str">
        <x:v>SoBrew</x:v>
      </x:c>
      <x:c r="I8" s="100" t="str">
        <x:v>91 customers, 307 transactions, excluding tax; no transaction dates in rows.</x:v>
      </x:c>
    </x:row>
    <x:row r="9">
      <x:c r="A9" s="22" t="str">
        <x:v>QuickBooks YTD customers</x:v>
      </x:c>
      <x:c r="B9" s="31" t="n">
        <x:v>91</x:v>
      </x:c>
      <x:c r="C9" s="22" t="str">
        <x:v>customers</x:v>
      </x:c>
      <x:c r="D9" s="22" t="str">
        <x:v>Jan 1-Aug 5, 2026</x:v>
      </x:c>
      <x:c r="E9" s="22" t="str">
        <x:v>Local export</x:v>
      </x:c>
      <x:c r="F9" s="22" t="str">
        <x:v>QuickBooks all-sales CSV</x:v>
      </x:c>
      <x:c r="G9" s="100" t="str">
        <x:v>/Users/zachfeinstone/Desktop/Sobrew-Wholesale-Ordering-App/output/reports/quickbooks-customer-ytd-orders-all-sales-2026-08-05.csv</x:v>
      </x:c>
      <x:c r="H9" s="100" t="str">
        <x:v>SoBrew</x:v>
      </x:c>
      <x:c r="I9" s="100" t="str">
        <x:v>Top 5 customers were 31.2% of YTD QuickBooks sales.</x:v>
      </x:c>
    </x:row>
    <x:row r="10">
      <x:c r="A10" s="22" t="str">
        <x:v>Active recurring run rate</x:v>
      </x:c>
      <x:c r="B10" s="28" t="n">
        <x:v>4967.444444444444</x:v>
      </x:c>
      <x:c r="C10" s="22" t="str">
        <x:v>USD/month</x:v>
      </x:c>
      <x:c r="D10" s="22" t="str">
        <x:v>Aug 21, 2026</x:v>
      </x:c>
      <x:c r="E10" s="22" t="str">
        <x:v>Live database</x:v>
      </x:c>
      <x:c r="F10" s="22" t="str">
        <x:v>Supabase recurring_orders</x:v>
      </x:c>
      <x:c r="G10" s="100" t="str">
        <x:v>https://supabase.com/dashboard/project/ovrzooxvvernqqcotpkv</x:v>
      </x:c>
      <x:c r="H10" s="100" t="str">
        <x:v>SoBrew</x:v>
      </x:c>
      <x:c r="I10" s="100" t="str">
        <x:v>15 active schedules annualized by frequency.</x:v>
      </x:c>
    </x:row>
    <x:row r="11">
      <x:c r="A11" s="22" t="str">
        <x:v>Sales pipeline</x:v>
      </x:c>
      <x:c r="B11" s="31" t="n">
        <x:v>292</x:v>
      </x:c>
      <x:c r="C11" s="22" t="str">
        <x:v>leads</x:v>
      </x:c>
      <x:c r="D11" s="22" t="str">
        <x:v>Aug 21, 2026</x:v>
      </x:c>
      <x:c r="E11" s="22" t="str">
        <x:v>Live database</x:v>
      </x:c>
      <x:c r="F11" s="22" t="str">
        <x:v>Supabase prospecting_leads</x:v>
      </x:c>
      <x:c r="G11" s="100" t="str">
        <x:v>https://supabase.com/dashboard/project/ovrzooxvvernqqcotpkv</x:v>
      </x:c>
      <x:c r="H11" s="100" t="str">
        <x:v>SoBrew</x:v>
      </x:c>
      <x:c r="I11" s="100" t="str">
        <x:v>95 working + 132 follow-up + 65 sample requested; only 7 converted, so pipeline is not booked revenue.</x:v>
      </x:c>
    </x:row>
    <x:row r="12">
      <x:c r="A12" s="23" t="str">
        <x:v>Price-per-pound covered revenue</x:v>
      </x:c>
      <x:c r="B12" s="29" t="n">
        <x:v>47133.48</x:v>
      </x:c>
      <x:c r="C12" s="23" t="str">
        <x:v>USD</x:v>
      </x:c>
      <x:c r="D12" s="23" t="str">
        <x:v>Mar 29-Aug 4, 2026</x:v>
      </x:c>
      <x:c r="E12" s="23" t="str">
        <x:v>Local report</x:v>
      </x:c>
      <x:c r="F12" s="23" t="str">
        <x:v>Client price-per-pound PDF</x:v>
      </x:c>
      <x:c r="G12" s="101" t="str">
        <x:v>/Users/zachfeinstone/Desktop/Sobrew-Wholesale-Ordering-App/output/pdf/client-price-per-pound-report-2026-08-05.pdf</x:v>
      </x:c>
      <x:c r="H12" s="101" t="str">
        <x:v>SoBrew</x:v>
      </x:c>
      <x:c r="I12" s="101" t="str">
        <x:v>Partial view: 105 positive-revenue lines lacked recipe-derived weight and were skipped.</x:v>
      </x:c>
    </x:row>
    <x:row r="15">
      <x:c r="A15" s="51" t="str">
        <x:v>Checks</x:v>
      </x:c>
      <x:c r="B15" s="51"/>
      <x:c r="C15" s="51"/>
      <x:c r="D15" s="51"/>
      <x:c r="E15" s="51"/>
      <x:c r="F15" s="51"/>
      <x:c r="G15" s="51"/>
      <x:c r="H15" s="106" t="str">
        <x:v>MODEL STATUS</x:v>
      </x:c>
      <x:c r="I15" s="106"/>
    </x:row>
    <x:row r="17">
      <x:c r="A17" s="18" t="str">
        <x:v>Check</x:v>
      </x:c>
      <x:c r="B17" s="19" t="str">
        <x:v>Actual</x:v>
      </x:c>
      <x:c r="C17" s="19" t="str">
        <x:v>Expected</x:v>
      </x:c>
      <x:c r="D17" s="19" t="str">
        <x:v>Difference</x:v>
      </x:c>
      <x:c r="E17" s="19" t="str">
        <x:v>Tolerance</x:v>
      </x:c>
      <x:c r="F17" s="19" t="str">
        <x:v>Status</x:v>
      </x:c>
      <x:c r="G17" s="20" t="str">
        <x:v>Notes</x:v>
      </x:c>
      <x:c r="H17" s="120" t="str">
        <x:f>IF(COUNTIF(F18:F23,"FAIL")=0,"PASS","FAIL")</x:f>
        <x:v>PASS</x:v>
      </x:c>
      <x:c r="I17" s="121"/>
    </x:row>
    <x:row r="18">
      <x:c r="A18" s="21" t="str">
        <x:v>Portal monthly revenue ties to source</x:v>
      </x:c>
      <x:c r="B18" s="27" t="n">
        <x:f>SUM('Historical Actuals'!D5:D12)</x:f>
        <x:v>58222.88</x:v>
      </x:c>
      <x:c r="C18" s="27" t="n">
        <x:v>58222.88</x:v>
      </x:c>
      <x:c r="D18" s="27" t="n">
        <x:f>B18-C18</x:f>
        <x:v>0</x:v>
      </x:c>
      <x:c r="E18" s="27" t="n">
        <x:v>0.01</x:v>
      </x:c>
      <x:c r="F18" s="21" t="str">
        <x:f>IF(ABS(D18)&lt;=E18,"PASS","FAIL")</x:f>
        <x:v>PASS</x:v>
      </x:c>
      <x:c r="G18" s="21" t="str">
        <x:v>History total must equal live shipped standard-order subtotal.</x:v>
      </x:c>
      <x:c r="H18" s="122"/>
      <x:c r="I18" s="123"/>
    </x:row>
    <x:row r="19">
      <x:c r="A19" s="22" t="str">
        <x:v>Cash receipts tie to source</x:v>
      </x:c>
      <x:c r="B19" s="28" t="n">
        <x:f>SUM('Historical Actuals'!C5:C12)</x:f>
        <x:v>55565.88</x:v>
      </x:c>
      <x:c r="C19" s="28" t="n">
        <x:v>55565.88</x:v>
      </x:c>
      <x:c r="D19" s="28" t="n">
        <x:f>B19-C19</x:f>
        <x:v>0</x:v>
      </x:c>
      <x:c r="E19" s="28" t="n">
        <x:v>0.01</x:v>
      </x:c>
      <x:c r="F19" s="22" t="str">
        <x:f>IF(ABS(D19)&lt;=E19,"PASS","FAIL")</x:f>
        <x:v>PASS</x:v>
      </x:c>
      <x:c r="G19" s="22" t="str">
        <x:v>January-July categorized Sales Revenue total.</x:v>
      </x:c>
      <x:c r="H19" s="124"/>
      <x:c r="I19" s="125"/>
    </x:row>
    <x:row r="20">
      <x:c r="A20" s="22" t="str">
        <x:v>Current actual bridge</x:v>
      </x:c>
      <x:c r="B20" s="28" t="n">
        <x:f>'Assumptions'!B15</x:f>
        <x:v>73609.89</x:v>
      </x:c>
      <x:c r="C20" s="28" t="n">
        <x:v>73609.89</x:v>
      </x:c>
      <x:c r="D20" s="28" t="n">
        <x:f>B20-C20</x:f>
        <x:v>0</x:v>
      </x:c>
      <x:c r="E20" s="28" t="n">
        <x:v>0.01</x:v>
      </x:c>
      <x:c r="F20" s="22" t="str">
        <x:f>IF(ABS(D20)&lt;=E20,"PASS","FAIL")</x:f>
        <x:v>PASS</x:v>
      </x:c>
      <x:c r="G20" s="22" t="str">
        <x:v>QuickBooks through Aug 5 plus portal shipments Aug 6-21.</x:v>
      </x:c>
    </x:row>
    <x:row r="21">
      <x:c r="A21" s="22" t="str">
        <x:v>Scenario ordering</x:v>
      </x:c>
      <x:c r="B21" s="22" t="n">
        <x:f>COUNTIF('Forecast Model'!Q5:Q20,"FAIL")</x:f>
        <x:v>0</x:v>
      </x:c>
      <x:c r="C21" s="22" t="n">
        <x:v>0</x:v>
      </x:c>
      <x:c r="D21" s="22" t="n">
        <x:f>B21-C21</x:f>
        <x:v>0</x:v>
      </x:c>
      <x:c r="E21" s="22" t="n">
        <x:v>0</x:v>
      </x:c>
      <x:c r="F21" s="22" t="str">
        <x:f>IF(ABS(D21)&lt;=E21,"PASS","FAIL")</x:f>
        <x:v>PASS</x:v>
      </x:c>
      <x:c r="G21" s="22" t="str">
        <x:v>No month may have Conservative &gt; Normal or Normal &gt; Aggressive.</x:v>
      </x:c>
    </x:row>
    <x:row r="22">
      <x:c r="A22" s="22" t="str">
        <x:v>Blend weights</x:v>
      </x:c>
      <x:c r="B22" s="40" t="n">
        <x:f>'Assumptions'!B13+'Assumptions'!B14</x:f>
        <x:v>1</x:v>
      </x:c>
      <x:c r="C22" s="40" t="n">
        <x:v>1</x:v>
      </x:c>
      <x:c r="D22" s="40" t="n">
        <x:f>B22-C22</x:f>
        <x:v>0</x:v>
      </x:c>
      <x:c r="E22" s="40" t="n">
        <x:v>0.0001</x:v>
      </x:c>
      <x:c r="F22" s="22" t="str">
        <x:f>IF(ABS(D22)&lt;=E22,"PASS","FAIL")</x:f>
        <x:v>PASS</x:v>
      </x:c>
      <x:c r="G22" s="22" t="str">
        <x:v>Time-series and driver weights must sum to 100%.</x:v>
      </x:c>
    </x:row>
    <x:row r="23">
      <x:c r="A23" s="23" t="str">
        <x:v>Forecast period count</x:v>
      </x:c>
      <x:c r="B23" s="23" t="n">
        <x:f>COUNTA('Forecast Model'!A5:A20)</x:f>
        <x:v>16</x:v>
      </x:c>
      <x:c r="C23" s="23" t="n">
        <x:v>16</x:v>
      </x:c>
      <x:c r="D23" s="23" t="n">
        <x:f>B23-C23</x:f>
        <x:v>0</x:v>
      </x:c>
      <x:c r="E23" s="23" t="n">
        <x:v>0</x:v>
      </x:c>
      <x:c r="F23" s="23" t="str">
        <x:f>IF(ABS(D23)&lt;=E23,"PASS","FAIL")</x:f>
        <x:v>PASS</x:v>
      </x:c>
      <x:c r="G23" s="23" t="str">
        <x:v>Sep 2026-Dec 2027 provides primary 12 months plus CY2027 extension.</x:v>
      </x:c>
    </x:row>
  </x:sheetData>
  <x:mergeCells>
    <x:mergeCell ref="A1:I1"/>
    <x:mergeCell ref="A2:I2"/>
    <x:mergeCell ref="A15:G15"/>
    <x:mergeCell ref="H15:I15"/>
    <x:mergeCell ref="H17:I19"/>
  </x:mergeCells>
  <x:conditionalFormatting sqref="F18:F23">
    <x:cfRule type="containsText" dxfId="2" priority="1" operator="containsText" text="PASS"/>
    <x:cfRule type="containsText" dxfId="3" priority="2" operator="containsText" text="FAIL"/>
  </x:conditionalFormatting>
  <x:conditionalFormatting sqref="H17:I19">
    <x:cfRule type="containsText" dxfId="4" priority="3" operator="containsText" text="PASS"/>
    <x:cfRule type="containsText" dxfId="5" priority="4" operator="containsText" text="FAIL"/>
  </x:conditionalFormatting>
  <x:pageMargins left="0.7" right="0.7" top="0.75" bottom="0.75" header="0.3" footer="0.3"/>
</x:worksheet>
</file>